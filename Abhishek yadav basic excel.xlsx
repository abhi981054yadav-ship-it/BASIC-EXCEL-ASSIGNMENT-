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shek Yadav\Documents\PW\"/>
    </mc:Choice>
  </mc:AlternateContent>
  <bookViews>
    <workbookView xWindow="0" yWindow="0" windowWidth="2364" windowHeight="228" activeTab="2"/>
  </bookViews>
  <sheets>
    <sheet name="answer1" sheetId="1" r:id="rId1"/>
    <sheet name="answer3" sheetId="2" r:id="rId2"/>
    <sheet name="answer7" sheetId="4" r:id="rId3"/>
    <sheet name="answer 8" sheetId="5" r:id="rId4"/>
    <sheet name="answer 4" sheetId="3" r:id="rId5"/>
  </sheets>
  <calcPr calcId="162913"/>
  <pivotCaches>
    <pivotCache cacheId="10" r:id="rId6"/>
    <pivotCache cacheId="1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3" l="1"/>
  <c r="B52" i="3"/>
  <c r="H17" i="3"/>
  <c r="H33" i="3"/>
  <c r="H24" i="3"/>
  <c r="H8" i="3"/>
  <c r="H45" i="3"/>
  <c r="H18" i="3"/>
  <c r="H14" i="3"/>
  <c r="H43" i="3"/>
  <c r="H35" i="3"/>
  <c r="H19" i="3"/>
  <c r="H29" i="3"/>
  <c r="H48" i="3"/>
  <c r="H30" i="3"/>
  <c r="H31" i="3"/>
  <c r="H5" i="3"/>
  <c r="H11" i="3"/>
  <c r="H41" i="3"/>
  <c r="H9" i="3"/>
  <c r="H38" i="3"/>
  <c r="H39" i="3"/>
  <c r="H12" i="3"/>
  <c r="H23" i="3"/>
  <c r="H44" i="3"/>
  <c r="H6" i="3"/>
  <c r="H36" i="3"/>
  <c r="H4" i="3"/>
  <c r="H22" i="3"/>
  <c r="H47" i="3"/>
  <c r="H32" i="3"/>
  <c r="H25" i="3"/>
  <c r="H2" i="3"/>
  <c r="H13" i="3"/>
  <c r="H51" i="3"/>
  <c r="H15" i="3"/>
  <c r="H34" i="3"/>
  <c r="H7" i="3"/>
  <c r="H16" i="3"/>
  <c r="H50" i="3"/>
  <c r="H28" i="3"/>
  <c r="H42" i="3"/>
  <c r="H10" i="3"/>
  <c r="H21" i="3"/>
  <c r="H49" i="3"/>
  <c r="H20" i="3"/>
  <c r="H37" i="3"/>
  <c r="H3" i="3"/>
  <c r="H27" i="3"/>
  <c r="H46" i="3"/>
  <c r="H26" i="3"/>
  <c r="H40" i="3"/>
  <c r="E52" i="3"/>
  <c r="F52" i="3"/>
  <c r="D4" i="2"/>
  <c r="D2" i="2"/>
  <c r="C4" i="1"/>
  <c r="C2" i="1"/>
</calcChain>
</file>

<file path=xl/sharedStrings.xml><?xml version="1.0" encoding="utf-8"?>
<sst xmlns="http://schemas.openxmlformats.org/spreadsheetml/2006/main" count="281" uniqueCount="135">
  <si>
    <t>Vehicle Price</t>
  </si>
  <si>
    <t>Car</t>
  </si>
  <si>
    <t>Bicycle</t>
  </si>
  <si>
    <t>Auto-Rickshaw</t>
  </si>
  <si>
    <t xml:space="preserve"> Item C</t>
  </si>
  <si>
    <t>Item B</t>
  </si>
  <si>
    <t>Item</t>
  </si>
  <si>
    <t xml:space="preserve"> Price</t>
  </si>
  <si>
    <t xml:space="preserve"> Sales </t>
  </si>
  <si>
    <t xml:space="preserve">Item A 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</si>
  <si>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</si>
  <si>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</si>
  <si>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</si>
  <si>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</si>
  <si>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</si>
  <si>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</si>
  <si>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</si>
  <si>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</si>
  <si>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</si>
  <si>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</si>
  <si>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</si>
  <si>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</si>
  <si>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</si>
  <si>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</si>
  <si>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</si>
  <si>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</si>
  <si>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</si>
  <si>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</si>
  <si>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</si>
  <si>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</si>
  <si>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</si>
  <si>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</si>
  <si>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</si>
  <si>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</si>
  <si>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</si>
  <si>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</si>
  <si>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</si>
  <si>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</si>
  <si>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</si>
  <si>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</si>
  <si>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</si>
  <si>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</si>
  <si>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</si>
  <si>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</si>
  <si>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</si>
  <si>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</si>
  <si>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</si>
  <si>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</si>
  <si>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</si>
  <si>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</si>
  <si>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</si>
  <si>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</si>
  <si>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</si>
  <si>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</si>
  <si>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</si>
  <si>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</si>
  <si>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</si>
  <si>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</si>
  <si>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</si>
  <si>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</si>
  <si>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</si>
  <si>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</si>
  <si>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</si>
  <si>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</si>
  <si>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</si>
  <si>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</si>
  <si>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</si>
  <si>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</si>
  <si>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</si>
  <si>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</si>
  <si>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</si>
  <si>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</si>
  <si>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</si>
  <si>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</si>
  <si>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</si>
  <si>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</si>
  <si>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</t>
  </si>
  <si>
    <t>total sales</t>
  </si>
  <si>
    <t xml:space="preserve">Total noth region sales </t>
  </si>
  <si>
    <t>Sum of total sales</t>
  </si>
  <si>
    <t>Row Labels</t>
  </si>
  <si>
    <t>Grand Total</t>
  </si>
  <si>
    <t>Jan</t>
  </si>
  <si>
    <t>05-Jan</t>
  </si>
  <si>
    <t>06-Jan</t>
  </si>
  <si>
    <t>07-Jan</t>
  </si>
  <si>
    <t>08-Jan</t>
  </si>
  <si>
    <t>10-Jan</t>
  </si>
  <si>
    <t>11-Jan</t>
  </si>
  <si>
    <t>13-Jan</t>
  </si>
  <si>
    <t>15-Jan</t>
  </si>
  <si>
    <t>17-Jan</t>
  </si>
  <si>
    <t>18-Jan</t>
  </si>
  <si>
    <t>19-Jan</t>
  </si>
  <si>
    <t>20-Jan</t>
  </si>
  <si>
    <t>22-Jan</t>
  </si>
  <si>
    <t>23-Jan</t>
  </si>
  <si>
    <t>24-Jan</t>
  </si>
  <si>
    <t>26-Jan</t>
  </si>
  <si>
    <t>28-Jan</t>
  </si>
  <si>
    <t>29-Jan</t>
  </si>
  <si>
    <t>30-Jan</t>
  </si>
  <si>
    <t>Feb</t>
  </si>
  <si>
    <t>01-Feb</t>
  </si>
  <si>
    <t>02-Feb</t>
  </si>
  <si>
    <t>03-Feb</t>
  </si>
  <si>
    <t>04-Feb</t>
  </si>
  <si>
    <t>06-Feb</t>
  </si>
  <si>
    <t>07-Feb</t>
  </si>
  <si>
    <t>08-Feb</t>
  </si>
  <si>
    <t>09-Feb</t>
  </si>
  <si>
    <t>10-Feb</t>
  </si>
  <si>
    <t>12-Feb</t>
  </si>
  <si>
    <t>13-Feb</t>
  </si>
  <si>
    <t>14-Feb</t>
  </si>
  <si>
    <t>16-Feb</t>
  </si>
  <si>
    <t>17-Feb</t>
  </si>
  <si>
    <t>18-Feb</t>
  </si>
  <si>
    <t>19-Feb</t>
  </si>
  <si>
    <t>21-Feb</t>
  </si>
  <si>
    <t>22-Feb</t>
  </si>
  <si>
    <t>23-Feb</t>
  </si>
  <si>
    <t>25-Feb</t>
  </si>
  <si>
    <t>26-Feb</t>
  </si>
  <si>
    <t>27-Feb</t>
  </si>
  <si>
    <t>28-Feb</t>
  </si>
  <si>
    <t>Mar</t>
  </si>
  <si>
    <t>01-Mar</t>
  </si>
  <si>
    <t>02-Mar</t>
  </si>
  <si>
    <t>03-Mar</t>
  </si>
  <si>
    <t>04-Mar</t>
  </si>
  <si>
    <t>05-Mar</t>
  </si>
  <si>
    <t>06-Mar</t>
  </si>
  <si>
    <t>07-Mar</t>
  </si>
  <si>
    <t>08-Mar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</si>
</sst>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[Abhishek yadav basic excel.xlsx]answer7!PivotTable8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answer7!$A$2:$A$7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answer7!$B$2:$B$7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9-4B97-8EE8-5E87327D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920047"/>
        <c:axId val="1867910895"/>
      </c:barChart>
      <c:catAx>
        <c:axId val="186792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10895"/>
        <c:crosses val="autoZero"/>
        <c:auto val="1"/>
        <c:lblAlgn val="ctr"/>
        <c:lblOffset val="100"/>
        <c:noMultiLvlLbl val="0"/>
      </c:catAx>
      <c:valAx>
        <c:axId val="186791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[Abhishek yadav basic excel.xlsx]answer 8!PivotTable9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'answer 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'answer 8'!$A$4:$A$104</c:f>
              <c:multiLvlStrCache>
                <c:ptCount val="50"/>
                <c:lvl>
                  <c:pt idx="0">
                    <c:v>Jan</c:v>
                  </c:pt>
                  <c:pt idx="1">
                    <c:v>Jan</c:v>
                  </c:pt>
                  <c:pt idx="2">
                    <c:v>Jan</c:v>
                  </c:pt>
                  <c:pt idx="3">
                    <c:v>Jan</c:v>
                  </c:pt>
                  <c:pt idx="4">
                    <c:v>Jan</c:v>
                  </c:pt>
                  <c:pt idx="5">
                    <c:v>Jan</c:v>
                  </c:pt>
                  <c:pt idx="6">
                    <c:v>Jan</c:v>
                  </c:pt>
                  <c:pt idx="7">
                    <c:v>Jan</c:v>
                  </c:pt>
                  <c:pt idx="8">
                    <c:v>Jan</c:v>
                  </c:pt>
                  <c:pt idx="9">
                    <c:v>Jan</c:v>
                  </c:pt>
                  <c:pt idx="10">
                    <c:v>Jan</c:v>
                  </c:pt>
                  <c:pt idx="11">
                    <c:v>Jan</c:v>
                  </c:pt>
                  <c:pt idx="12">
                    <c:v>Jan</c:v>
                  </c:pt>
                  <c:pt idx="13">
                    <c:v>Jan</c:v>
                  </c:pt>
                  <c:pt idx="14">
                    <c:v>Jan</c:v>
                  </c:pt>
                  <c:pt idx="15">
                    <c:v>Jan</c:v>
                  </c:pt>
                  <c:pt idx="16">
                    <c:v>Jan</c:v>
                  </c:pt>
                  <c:pt idx="17">
                    <c:v>Jan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Feb</c:v>
                  </c:pt>
                  <c:pt idx="21">
                    <c:v>Feb</c:v>
                  </c:pt>
                  <c:pt idx="22">
                    <c:v>Feb</c:v>
                  </c:pt>
                  <c:pt idx="23">
                    <c:v>Feb</c:v>
                  </c:pt>
                  <c:pt idx="24">
                    <c:v>Feb</c:v>
                  </c:pt>
                  <c:pt idx="25">
                    <c:v>Feb</c:v>
                  </c:pt>
                  <c:pt idx="26">
                    <c:v>Feb</c:v>
                  </c:pt>
                  <c:pt idx="27">
                    <c:v>Feb</c:v>
                  </c:pt>
                  <c:pt idx="28">
                    <c:v>Feb</c:v>
                  </c:pt>
                  <c:pt idx="29">
                    <c:v>Feb</c:v>
                  </c:pt>
                  <c:pt idx="30">
                    <c:v>Feb</c:v>
                  </c:pt>
                  <c:pt idx="31">
                    <c:v>Feb</c:v>
                  </c:pt>
                  <c:pt idx="32">
                    <c:v>Feb</c:v>
                  </c:pt>
                  <c:pt idx="33">
                    <c:v>Feb</c:v>
                  </c:pt>
                  <c:pt idx="34">
                    <c:v>Feb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Feb</c:v>
                  </c:pt>
                  <c:pt idx="40">
                    <c:v>Feb</c:v>
                  </c:pt>
                  <c:pt idx="41">
                    <c:v>Feb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Mar</c:v>
                  </c:pt>
                  <c:pt idx="45">
                    <c:v>Mar</c:v>
                  </c:pt>
                  <c:pt idx="46">
                    <c:v>Mar</c:v>
                  </c:pt>
                  <c:pt idx="47">
                    <c:v>Mar</c:v>
                  </c:pt>
                  <c:pt idx="48">
                    <c:v>Mar</c:v>
                  </c:pt>
                  <c:pt idx="49">
                    <c:v>Mar</c:v>
                  </c:pt>
                </c:lvl>
                <c:lvl>
                  <c:pt idx="0">
                    <c:v>05-Jan</c:v>
                  </c:pt>
                  <c:pt idx="1">
                    <c:v>06-Jan</c:v>
                  </c:pt>
                  <c:pt idx="2">
                    <c:v>07-Jan</c:v>
                  </c:pt>
                  <c:pt idx="3">
                    <c:v>08-Jan</c:v>
                  </c:pt>
                  <c:pt idx="4">
                    <c:v>10-Jan</c:v>
                  </c:pt>
                  <c:pt idx="5">
                    <c:v>11-Jan</c:v>
                  </c:pt>
                  <c:pt idx="6">
                    <c:v>13-Jan</c:v>
                  </c:pt>
                  <c:pt idx="7">
                    <c:v>15-Jan</c:v>
                  </c:pt>
                  <c:pt idx="8">
                    <c:v>17-Jan</c:v>
                  </c:pt>
                  <c:pt idx="9">
                    <c:v>18-Jan</c:v>
                  </c:pt>
                  <c:pt idx="10">
                    <c:v>19-Jan</c:v>
                  </c:pt>
                  <c:pt idx="11">
                    <c:v>20-Jan</c:v>
                  </c:pt>
                  <c:pt idx="12">
                    <c:v>22-Jan</c:v>
                  </c:pt>
                  <c:pt idx="13">
                    <c:v>23-Jan</c:v>
                  </c:pt>
                  <c:pt idx="14">
                    <c:v>24-Jan</c:v>
                  </c:pt>
                  <c:pt idx="15">
                    <c:v>26-Jan</c:v>
                  </c:pt>
                  <c:pt idx="16">
                    <c:v>28-Jan</c:v>
                  </c:pt>
                  <c:pt idx="17">
                    <c:v>29-Jan</c:v>
                  </c:pt>
                  <c:pt idx="18">
                    <c:v>30-Jan</c:v>
                  </c:pt>
                  <c:pt idx="19">
                    <c:v>01-Feb</c:v>
                  </c:pt>
                  <c:pt idx="20">
                    <c:v>02-Feb</c:v>
                  </c:pt>
                  <c:pt idx="21">
                    <c:v>03-Feb</c:v>
                  </c:pt>
                  <c:pt idx="22">
                    <c:v>04-Feb</c:v>
                  </c:pt>
                  <c:pt idx="23">
                    <c:v>06-Feb</c:v>
                  </c:pt>
                  <c:pt idx="24">
                    <c:v>07-Feb</c:v>
                  </c:pt>
                  <c:pt idx="25">
                    <c:v>08-Feb</c:v>
                  </c:pt>
                  <c:pt idx="26">
                    <c:v>09-Feb</c:v>
                  </c:pt>
                  <c:pt idx="27">
                    <c:v>10-Feb</c:v>
                  </c:pt>
                  <c:pt idx="28">
                    <c:v>12-Feb</c:v>
                  </c:pt>
                  <c:pt idx="29">
                    <c:v>13-Feb</c:v>
                  </c:pt>
                  <c:pt idx="30">
                    <c:v>14-Feb</c:v>
                  </c:pt>
                  <c:pt idx="31">
                    <c:v>16-Feb</c:v>
                  </c:pt>
                  <c:pt idx="32">
                    <c:v>17-Feb</c:v>
                  </c:pt>
                  <c:pt idx="33">
                    <c:v>18-Feb</c:v>
                  </c:pt>
                  <c:pt idx="34">
                    <c:v>19-Feb</c:v>
                  </c:pt>
                  <c:pt idx="35">
                    <c:v>21-Feb</c:v>
                  </c:pt>
                  <c:pt idx="36">
                    <c:v>22-Feb</c:v>
                  </c:pt>
                  <c:pt idx="37">
                    <c:v>23-Feb</c:v>
                  </c:pt>
                  <c:pt idx="38">
                    <c:v>25-Feb</c:v>
                  </c:pt>
                  <c:pt idx="39">
                    <c:v>26-Feb</c:v>
                  </c:pt>
                  <c:pt idx="40">
                    <c:v>27-Feb</c:v>
                  </c:pt>
                  <c:pt idx="41">
                    <c:v>28-Feb</c:v>
                  </c:pt>
                  <c:pt idx="42">
                    <c:v>01-Mar</c:v>
                  </c:pt>
                  <c:pt idx="43">
                    <c:v>02-Mar</c:v>
                  </c:pt>
                  <c:pt idx="44">
                    <c:v>03-Mar</c:v>
                  </c:pt>
                  <c:pt idx="45">
                    <c:v>04-Mar</c:v>
                  </c:pt>
                  <c:pt idx="46">
                    <c:v>05-Mar</c:v>
                  </c:pt>
                  <c:pt idx="47">
                    <c:v>06-Mar</c:v>
                  </c:pt>
                  <c:pt idx="48">
                    <c:v>07-Mar</c:v>
                  </c:pt>
                  <c:pt idx="49">
                    <c:v>08-Mar</c:v>
                  </c:pt>
                </c:lvl>
              </c:multiLvlStrCache>
            </c:multiLvlStrRef>
          </c:cat>
          <c:val>
            <c:numRef>
              <c:f>'answer 8'!$B$4:$B$104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0-4E4F-87DE-A0EE426BC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912975"/>
        <c:axId val="1867918383"/>
      </c:barChart>
      <c:catAx>
        <c:axId val="18679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18383"/>
        <c:crosses val="autoZero"/>
        <c:auto val="1"/>
        <c:lblAlgn val="ctr"/>
        <c:lblOffset val="100"/>
        <c:noMultiLvlLbl val="0"/>
      </c:catAx>
      <c:valAx>
        <c:axId val="18679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1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14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6</xdr:row>
      <xdr:rowOff>144780</xdr:rowOff>
    </xdr:from>
    <xdr:to>
      <xdr:col>15</xdr:col>
      <xdr:colOff>358140</xdr:colOff>
      <xdr:row>20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shek Yadav" refreshedDate="46105.620044328702" createdVersion="6" refreshedVersion="6" minRefreshableVersion="3" recordCount="50">
  <cacheSource type="worksheet">
    <worksheetSource ref="D1:H51" sheet="answer 4"/>
  </cacheSource>
  <cacheFields count="5"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hishek Yadav" refreshedDate="46105.625561226851" createdVersion="6" refreshedVersion="6" minRefreshableVersion="3" recordCount="50">
  <cacheSource type="worksheet">
    <worksheetSource ref="A1:H51" sheet="answer 4"/>
  </cacheSource>
  <cacheFields count="9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  <fieldGroup par="8" base="6">
        <rangePr groupBy="days" startDate="2024-01-05T00:00:00" endDate="2024-03-09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3-2024"/>
        </groupItems>
      </fieldGroup>
    </cacheField>
    <cacheField name="total sales" numFmtId="0">
      <sharedItems containsSemiMixedTypes="0" containsString="0" containsNumber="1" containsInteger="1" minValue="90" maxValue="850"/>
    </cacheField>
    <cacheField name="Months" numFmtId="0" databaseField="0">
      <fieldGroup base="6">
        <rangePr groupBy="months" startDate="2024-01-05T00:00:00" endDate="2024-03-09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n v="10"/>
    <n v="50"/>
    <d v="2024-01-05T00:00:00"/>
    <n v="500"/>
  </r>
  <r>
    <x v="1"/>
    <n v="20"/>
    <n v="10"/>
    <d v="2024-01-06T00:00:00"/>
    <n v="200"/>
  </r>
  <r>
    <x v="2"/>
    <n v="15"/>
    <n v="25"/>
    <d v="2024-01-07T00:00:00"/>
    <n v="375"/>
  </r>
  <r>
    <x v="0"/>
    <n v="5"/>
    <n v="50"/>
    <d v="2024-01-08T00:00:00"/>
    <n v="250"/>
  </r>
  <r>
    <x v="3"/>
    <n v="30"/>
    <n v="5"/>
    <d v="2024-01-10T00:00:00"/>
    <n v="150"/>
  </r>
  <r>
    <x v="0"/>
    <n v="12"/>
    <n v="50"/>
    <d v="2024-01-11T00:00:00"/>
    <n v="600"/>
  </r>
  <r>
    <x v="4"/>
    <n v="25"/>
    <n v="8"/>
    <d v="2024-01-13T00:00:00"/>
    <n v="200"/>
  </r>
  <r>
    <x v="1"/>
    <n v="18"/>
    <n v="10"/>
    <d v="2024-01-15T00:00:00"/>
    <n v="180"/>
  </r>
  <r>
    <x v="2"/>
    <n v="22"/>
    <n v="25"/>
    <d v="2024-01-17T00:00:00"/>
    <n v="550"/>
  </r>
  <r>
    <x v="0"/>
    <n v="8"/>
    <n v="50"/>
    <d v="2024-01-18T00:00:00"/>
    <n v="400"/>
  </r>
  <r>
    <x v="3"/>
    <n v="40"/>
    <n v="5"/>
    <d v="2024-01-19T00:00:00"/>
    <n v="200"/>
  </r>
  <r>
    <x v="4"/>
    <n v="35"/>
    <n v="8"/>
    <d v="2024-01-20T00:00:00"/>
    <n v="280"/>
  </r>
  <r>
    <x v="0"/>
    <n v="14"/>
    <n v="50"/>
    <d v="2024-01-22T00:00:00"/>
    <n v="700"/>
  </r>
  <r>
    <x v="1"/>
    <n v="28"/>
    <n v="10"/>
    <d v="2024-01-23T00:00:00"/>
    <n v="280"/>
  </r>
  <r>
    <x v="2"/>
    <n v="12"/>
    <n v="25"/>
    <d v="2024-01-24T00:00:00"/>
    <n v="300"/>
  </r>
  <r>
    <x v="3"/>
    <n v="25"/>
    <n v="5"/>
    <d v="2024-01-26T00:00:00"/>
    <n v="125"/>
  </r>
  <r>
    <x v="4"/>
    <n v="20"/>
    <n v="8"/>
    <d v="2024-01-28T00:00:00"/>
    <n v="160"/>
  </r>
  <r>
    <x v="0"/>
    <n v="10"/>
    <n v="50"/>
    <d v="2024-01-29T00:00:00"/>
    <n v="500"/>
  </r>
  <r>
    <x v="1"/>
    <n v="15"/>
    <n v="10"/>
    <d v="2024-01-30T00:00:00"/>
    <n v="150"/>
  </r>
  <r>
    <x v="2"/>
    <n v="18"/>
    <n v="25"/>
    <d v="2024-02-01T00:00:00"/>
    <n v="450"/>
  </r>
  <r>
    <x v="0"/>
    <n v="9"/>
    <n v="50"/>
    <d v="2024-02-02T00:00:00"/>
    <n v="450"/>
  </r>
  <r>
    <x v="3"/>
    <n v="35"/>
    <n v="5"/>
    <d v="2024-02-03T00:00:00"/>
    <n v="175"/>
  </r>
  <r>
    <x v="4"/>
    <n v="30"/>
    <n v="8"/>
    <d v="2024-02-04T00:00:00"/>
    <n v="240"/>
  </r>
  <r>
    <x v="0"/>
    <n v="11"/>
    <n v="50"/>
    <d v="2024-02-06T00:00:00"/>
    <n v="550"/>
  </r>
  <r>
    <x v="1"/>
    <n v="14"/>
    <n v="10"/>
    <d v="2024-02-07T00:00:00"/>
    <n v="140"/>
  </r>
  <r>
    <x v="2"/>
    <n v="16"/>
    <n v="25"/>
    <d v="2024-02-08T00:00:00"/>
    <n v="400"/>
  </r>
  <r>
    <x v="3"/>
    <n v="22"/>
    <n v="5"/>
    <d v="2024-02-09T00:00:00"/>
    <n v="110"/>
  </r>
  <r>
    <x v="4"/>
    <n v="27"/>
    <n v="8"/>
    <d v="2024-02-10T00:00:00"/>
    <n v="216"/>
  </r>
  <r>
    <x v="0"/>
    <n v="13"/>
    <n v="50"/>
    <d v="2024-02-12T00:00:00"/>
    <n v="650"/>
  </r>
  <r>
    <x v="1"/>
    <n v="32"/>
    <n v="10"/>
    <d v="2024-02-13T00:00:00"/>
    <n v="320"/>
  </r>
  <r>
    <x v="2"/>
    <n v="10"/>
    <n v="25"/>
    <d v="2024-02-14T00:00:00"/>
    <n v="250"/>
  </r>
  <r>
    <x v="3"/>
    <n v="18"/>
    <n v="5"/>
    <d v="2024-02-16T00:00:00"/>
    <n v="90"/>
  </r>
  <r>
    <x v="4"/>
    <n v="22"/>
    <n v="8"/>
    <d v="2024-02-17T00:00:00"/>
    <n v="176"/>
  </r>
  <r>
    <x v="0"/>
    <n v="17"/>
    <n v="50"/>
    <d v="2024-02-18T00:00:00"/>
    <n v="850"/>
  </r>
  <r>
    <x v="1"/>
    <n v="19"/>
    <n v="10"/>
    <d v="2024-02-19T00:00:00"/>
    <n v="190"/>
  </r>
  <r>
    <x v="2"/>
    <n v="15"/>
    <n v="25"/>
    <d v="2024-02-21T00:00:00"/>
    <n v="375"/>
  </r>
  <r>
    <x v="3"/>
    <n v="28"/>
    <n v="5"/>
    <d v="2024-02-22T00:00:00"/>
    <n v="140"/>
  </r>
  <r>
    <x v="4"/>
    <n v="24"/>
    <n v="8"/>
    <d v="2024-02-23T00:00:00"/>
    <n v="192"/>
  </r>
  <r>
    <x v="0"/>
    <n v="16"/>
    <n v="50"/>
    <d v="2024-02-25T00:00:00"/>
    <n v="800"/>
  </r>
  <r>
    <x v="1"/>
    <n v="27"/>
    <n v="10"/>
    <d v="2024-02-26T00:00:00"/>
    <n v="270"/>
  </r>
  <r>
    <x v="2"/>
    <n v="21"/>
    <n v="25"/>
    <d v="2024-02-27T00:00:00"/>
    <n v="525"/>
  </r>
  <r>
    <x v="3"/>
    <n v="30"/>
    <n v="5"/>
    <d v="2024-02-28T00:00:00"/>
    <n v="150"/>
  </r>
  <r>
    <x v="4"/>
    <n v="26"/>
    <n v="8"/>
    <d v="2024-03-01T00:00:00"/>
    <n v="208"/>
  </r>
  <r>
    <x v="0"/>
    <n v="14"/>
    <n v="50"/>
    <d v="2024-03-02T00:00:00"/>
    <n v="700"/>
  </r>
  <r>
    <x v="1"/>
    <n v="20"/>
    <n v="10"/>
    <d v="2024-03-03T00:00:00"/>
    <n v="200"/>
  </r>
  <r>
    <x v="2"/>
    <n v="17"/>
    <n v="25"/>
    <d v="2024-03-04T00:00:00"/>
    <n v="425"/>
  </r>
  <r>
    <x v="3"/>
    <n v="19"/>
    <n v="5"/>
    <d v="2024-03-05T00:00:00"/>
    <n v="95"/>
  </r>
  <r>
    <x v="4"/>
    <n v="32"/>
    <n v="8"/>
    <d v="2024-03-06T00:00:00"/>
    <n v="256"/>
  </r>
  <r>
    <x v="0"/>
    <n v="12"/>
    <n v="50"/>
    <d v="2024-03-07T00:00:00"/>
    <n v="600"/>
  </r>
  <r>
    <x v="1"/>
    <n v="25"/>
    <n v="10"/>
    <d v="2024-03-08T00:00:00"/>
    <n v="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n v="1001"/>
    <s v="Amit Sharma"/>
    <s v="North"/>
    <s v="Notebook"/>
    <n v="10"/>
    <n v="50"/>
    <x v="0"/>
    <n v="500"/>
  </r>
  <r>
    <n v="1002"/>
    <s v="Neha Verma"/>
    <s v="South"/>
    <s v="Pen"/>
    <n v="20"/>
    <n v="10"/>
    <x v="1"/>
    <n v="200"/>
  </r>
  <r>
    <n v="1003"/>
    <s v="Rahul Singh"/>
    <s v="East"/>
    <s v="Marker"/>
    <n v="15"/>
    <n v="25"/>
    <x v="2"/>
    <n v="375"/>
  </r>
  <r>
    <n v="1004"/>
    <s v="Pooja Mehta"/>
    <s v="West"/>
    <s v="Notebook"/>
    <n v="5"/>
    <n v="50"/>
    <x v="3"/>
    <n v="250"/>
  </r>
  <r>
    <n v="1005"/>
    <s v="Ankit Jain"/>
    <s v="North"/>
    <s v="Pencil"/>
    <n v="30"/>
    <n v="5"/>
    <x v="4"/>
    <n v="150"/>
  </r>
  <r>
    <n v="1006"/>
    <s v="Sneha Patel"/>
    <s v="South"/>
    <s v="Notebook"/>
    <n v="12"/>
    <n v="50"/>
    <x v="5"/>
    <n v="600"/>
  </r>
  <r>
    <n v="1007"/>
    <s v="Vikas Gupta"/>
    <s v="East"/>
    <s v="Eraser"/>
    <n v="25"/>
    <n v="8"/>
    <x v="6"/>
    <n v="200"/>
  </r>
  <r>
    <n v="1008"/>
    <s v="Meera Nair"/>
    <s v="West"/>
    <s v="Pen"/>
    <n v="18"/>
    <n v="10"/>
    <x v="7"/>
    <n v="180"/>
  </r>
  <r>
    <n v="1009"/>
    <s v="Anjali Rao"/>
    <s v="North"/>
    <s v="Marker"/>
    <n v="22"/>
    <n v="25"/>
    <x v="8"/>
    <n v="550"/>
  </r>
  <r>
    <n v="1010"/>
    <s v="Manoj Das"/>
    <s v="South"/>
    <s v="Notebook"/>
    <n v="8"/>
    <n v="50"/>
    <x v="9"/>
    <n v="400"/>
  </r>
  <r>
    <n v="1011"/>
    <s v="Ritika Sen"/>
    <s v="East"/>
    <s v="Pencil"/>
    <n v="40"/>
    <n v="5"/>
    <x v="10"/>
    <n v="200"/>
  </r>
  <r>
    <n v="1012"/>
    <s v="Karan Malhotra"/>
    <s v="West"/>
    <s v="Eraser"/>
    <n v="35"/>
    <n v="8"/>
    <x v="11"/>
    <n v="280"/>
  </r>
  <r>
    <n v="1013"/>
    <s v="Aryan Joshi"/>
    <s v="North"/>
    <s v="Notebook"/>
    <n v="14"/>
    <n v="50"/>
    <x v="12"/>
    <n v="700"/>
  </r>
  <r>
    <n v="1014"/>
    <s v="Divya Kapoor"/>
    <s v="South"/>
    <s v="Pen"/>
    <n v="28"/>
    <n v="10"/>
    <x v="13"/>
    <n v="280"/>
  </r>
  <r>
    <n v="1015"/>
    <s v="Sahil Arora"/>
    <s v="East"/>
    <s v="Marker"/>
    <n v="12"/>
    <n v="25"/>
    <x v="14"/>
    <n v="300"/>
  </r>
  <r>
    <n v="1016"/>
    <s v="Muskan Jain"/>
    <s v="West"/>
    <s v="Pencil"/>
    <n v="25"/>
    <n v="5"/>
    <x v="15"/>
    <n v="125"/>
  </r>
  <r>
    <n v="1017"/>
    <s v="Rohan Gupta"/>
    <s v="North"/>
    <s v="Eraser"/>
    <n v="20"/>
    <n v="8"/>
    <x v="16"/>
    <n v="160"/>
  </r>
  <r>
    <n v="1018"/>
    <s v="Nidhi Sharma"/>
    <s v="South"/>
    <s v="Notebook"/>
    <n v="10"/>
    <n v="50"/>
    <x v="17"/>
    <n v="500"/>
  </r>
  <r>
    <n v="1019"/>
    <s v="Tarun Verma"/>
    <s v="East"/>
    <s v="Pen"/>
    <n v="15"/>
    <n v="10"/>
    <x v="18"/>
    <n v="150"/>
  </r>
  <r>
    <n v="1020"/>
    <s v="Simran Kaur"/>
    <s v="West"/>
    <s v="Marker"/>
    <n v="18"/>
    <n v="25"/>
    <x v="19"/>
    <n v="450"/>
  </r>
  <r>
    <n v="1021"/>
    <s v="Deepak Rao"/>
    <s v="North"/>
    <s v="Notebook"/>
    <n v="9"/>
    <n v="50"/>
    <x v="20"/>
    <n v="450"/>
  </r>
  <r>
    <n v="1022"/>
    <s v="Payal Mehta"/>
    <s v="South"/>
    <s v="Pencil"/>
    <n v="35"/>
    <n v="5"/>
    <x v="21"/>
    <n v="175"/>
  </r>
  <r>
    <n v="1023"/>
    <s v="Aditya Singh"/>
    <s v="East"/>
    <s v="Eraser"/>
    <n v="30"/>
    <n v="8"/>
    <x v="22"/>
    <n v="240"/>
  </r>
  <r>
    <n v="1024"/>
    <s v="Shreya Nair"/>
    <s v="West"/>
    <s v="Notebook"/>
    <n v="11"/>
    <n v="50"/>
    <x v="23"/>
    <n v="550"/>
  </r>
  <r>
    <n v="1025"/>
    <s v="Sanjay Kumar"/>
    <s v="North"/>
    <s v="Pen"/>
    <n v="14"/>
    <n v="10"/>
    <x v="24"/>
    <n v="140"/>
  </r>
  <r>
    <n v="1026"/>
    <s v="Aarti Sharma"/>
    <s v="South"/>
    <s v="Marker"/>
    <n v="16"/>
    <n v="25"/>
    <x v="25"/>
    <n v="400"/>
  </r>
  <r>
    <n v="1027"/>
    <s v="Rajesh Patel"/>
    <s v="East"/>
    <s v="Pencil"/>
    <n v="22"/>
    <n v="5"/>
    <x v="26"/>
    <n v="110"/>
  </r>
  <r>
    <n v="1028"/>
    <s v="Preeti Joshi"/>
    <s v="West"/>
    <s v="Eraser"/>
    <n v="27"/>
    <n v="8"/>
    <x v="27"/>
    <n v="216"/>
  </r>
  <r>
    <n v="1029"/>
    <s v="Anurag Mishra"/>
    <s v="North"/>
    <s v="Notebook"/>
    <n v="13"/>
    <n v="50"/>
    <x v="28"/>
    <n v="650"/>
  </r>
  <r>
    <n v="1030"/>
    <s v="Sanya Kapoor"/>
    <s v="South"/>
    <s v="Pen"/>
    <n v="32"/>
    <n v="10"/>
    <x v="29"/>
    <n v="320"/>
  </r>
  <r>
    <n v="1031"/>
    <s v="Harsh Yadav"/>
    <s v="East"/>
    <s v="Marker"/>
    <n v="10"/>
    <n v="25"/>
    <x v="30"/>
    <n v="250"/>
  </r>
  <r>
    <n v="1032"/>
    <s v="Kajal Rani"/>
    <s v="West"/>
    <s v="Pencil"/>
    <n v="18"/>
    <n v="5"/>
    <x v="31"/>
    <n v="90"/>
  </r>
  <r>
    <n v="1033"/>
    <s v="Varun Sharma"/>
    <s v="North"/>
    <s v="Eraser"/>
    <n v="22"/>
    <n v="8"/>
    <x v="32"/>
    <n v="176"/>
  </r>
  <r>
    <n v="1034"/>
    <s v="Swati Arora"/>
    <s v="South"/>
    <s v="Notebook"/>
    <n v="17"/>
    <n v="50"/>
    <x v="33"/>
    <n v="850"/>
  </r>
  <r>
    <n v="1035"/>
    <s v="Akhil Jain"/>
    <s v="East"/>
    <s v="Pen"/>
    <n v="19"/>
    <n v="10"/>
    <x v="34"/>
    <n v="190"/>
  </r>
  <r>
    <n v="1036"/>
    <s v="Priyanka Das"/>
    <s v="West"/>
    <s v="Marker"/>
    <n v="15"/>
    <n v="25"/>
    <x v="35"/>
    <n v="375"/>
  </r>
  <r>
    <n v="1037"/>
    <s v="Ravi Nair"/>
    <s v="North"/>
    <s v="Pencil"/>
    <n v="28"/>
    <n v="5"/>
    <x v="36"/>
    <n v="140"/>
  </r>
  <r>
    <n v="1038"/>
    <s v="Komal Singh"/>
    <s v="South"/>
    <s v="Eraser"/>
    <n v="24"/>
    <n v="8"/>
    <x v="37"/>
    <n v="192"/>
  </r>
  <r>
    <n v="1039"/>
    <s v="Ayesha Khan"/>
    <s v="East"/>
    <s v="Notebook"/>
    <n v="16"/>
    <n v="50"/>
    <x v="38"/>
    <n v="800"/>
  </r>
  <r>
    <n v="1040"/>
    <s v="Arjun Mehta"/>
    <s v="West"/>
    <s v="Pen"/>
    <n v="27"/>
    <n v="10"/>
    <x v="39"/>
    <n v="270"/>
  </r>
  <r>
    <n v="1041"/>
    <s v="Sonali Gupta"/>
    <s v="North"/>
    <s v="Marker"/>
    <n v="21"/>
    <n v="25"/>
    <x v="40"/>
    <n v="525"/>
  </r>
  <r>
    <n v="1042"/>
    <s v="Neeraj Kapoor"/>
    <s v="South"/>
    <s v="Pencil"/>
    <n v="30"/>
    <n v="5"/>
    <x v="41"/>
    <n v="150"/>
  </r>
  <r>
    <n v="1043"/>
    <s v="Shruti Sharma"/>
    <s v="East"/>
    <s v="Eraser"/>
    <n v="26"/>
    <n v="8"/>
    <x v="42"/>
    <n v="208"/>
  </r>
  <r>
    <n v="1044"/>
    <s v="Yash Arora"/>
    <s v="West"/>
    <s v="Notebook"/>
    <n v="14"/>
    <n v="50"/>
    <x v="43"/>
    <n v="700"/>
  </r>
  <r>
    <n v="1045"/>
    <s v="Manish Das"/>
    <s v="North"/>
    <s v="Pen"/>
    <n v="20"/>
    <n v="10"/>
    <x v="44"/>
    <n v="200"/>
  </r>
  <r>
    <n v="1046"/>
    <s v="Rupal Nair"/>
    <s v="South"/>
    <s v="Marker"/>
    <n v="17"/>
    <n v="25"/>
    <x v="45"/>
    <n v="425"/>
  </r>
  <r>
    <n v="1047"/>
    <s v="Sonia Verma"/>
    <s v="East"/>
    <s v="Pencil"/>
    <n v="19"/>
    <n v="5"/>
    <x v="46"/>
    <n v="95"/>
  </r>
  <r>
    <n v="1048"/>
    <s v="Kunal Singh"/>
    <s v="West"/>
    <s v="Eraser"/>
    <n v="32"/>
    <n v="8"/>
    <x v="47"/>
    <n v="256"/>
  </r>
  <r>
    <n v="1049"/>
    <s v="Ritika Jain"/>
    <s v="North"/>
    <s v="Notebook"/>
    <n v="12"/>
    <n v="50"/>
    <x v="48"/>
    <n v="600"/>
  </r>
  <r>
    <n v="1050"/>
    <s v="Vivek Malhotra"/>
    <s v="South"/>
    <s v="Pen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7" firstHeaderRow="1" firstDataRow="1" firstDataCol="1"/>
  <pivotFields count="5"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 sortType="descending" defaultSubtotal="0">
      <items count="14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</items>
    </pivotField>
  </pivotFields>
  <rowFields count="2">
    <field x="6"/>
    <field x="8"/>
  </rowFields>
  <rowItems count="101">
    <i>
      <x v="5"/>
    </i>
    <i r="1">
      <x v="13"/>
    </i>
    <i>
      <x v="6"/>
    </i>
    <i r="1">
      <x v="13"/>
    </i>
    <i>
      <x v="7"/>
    </i>
    <i r="1">
      <x v="13"/>
    </i>
    <i>
      <x v="8"/>
    </i>
    <i r="1">
      <x v="13"/>
    </i>
    <i>
      <x v="10"/>
    </i>
    <i r="1">
      <x v="13"/>
    </i>
    <i>
      <x v="11"/>
    </i>
    <i r="1">
      <x v="13"/>
    </i>
    <i>
      <x v="13"/>
    </i>
    <i r="1">
      <x v="13"/>
    </i>
    <i>
      <x v="15"/>
    </i>
    <i r="1">
      <x v="13"/>
    </i>
    <i>
      <x v="17"/>
    </i>
    <i r="1">
      <x v="13"/>
    </i>
    <i>
      <x v="18"/>
    </i>
    <i r="1">
      <x v="13"/>
    </i>
    <i>
      <x v="19"/>
    </i>
    <i r="1">
      <x v="13"/>
    </i>
    <i>
      <x v="20"/>
    </i>
    <i r="1">
      <x v="13"/>
    </i>
    <i>
      <x v="22"/>
    </i>
    <i r="1">
      <x v="13"/>
    </i>
    <i>
      <x v="23"/>
    </i>
    <i r="1">
      <x v="13"/>
    </i>
    <i>
      <x v="24"/>
    </i>
    <i r="1">
      <x v="13"/>
    </i>
    <i>
      <x v="26"/>
    </i>
    <i r="1">
      <x v="13"/>
    </i>
    <i>
      <x v="28"/>
    </i>
    <i r="1">
      <x v="13"/>
    </i>
    <i>
      <x v="29"/>
    </i>
    <i r="1">
      <x v="13"/>
    </i>
    <i>
      <x v="30"/>
    </i>
    <i r="1">
      <x v="13"/>
    </i>
    <i>
      <x v="32"/>
    </i>
    <i r="1">
      <x v="12"/>
    </i>
    <i>
      <x v="33"/>
    </i>
    <i r="1">
      <x v="12"/>
    </i>
    <i>
      <x v="34"/>
    </i>
    <i r="1">
      <x v="12"/>
    </i>
    <i>
      <x v="35"/>
    </i>
    <i r="1">
      <x v="12"/>
    </i>
    <i>
      <x v="37"/>
    </i>
    <i r="1">
      <x v="12"/>
    </i>
    <i>
      <x v="38"/>
    </i>
    <i r="1">
      <x v="12"/>
    </i>
    <i>
      <x v="39"/>
    </i>
    <i r="1">
      <x v="12"/>
    </i>
    <i>
      <x v="40"/>
    </i>
    <i r="1">
      <x v="12"/>
    </i>
    <i>
      <x v="41"/>
    </i>
    <i r="1">
      <x v="12"/>
    </i>
    <i>
      <x v="43"/>
    </i>
    <i r="1">
      <x v="12"/>
    </i>
    <i>
      <x v="44"/>
    </i>
    <i r="1">
      <x v="12"/>
    </i>
    <i>
      <x v="45"/>
    </i>
    <i r="1">
      <x v="12"/>
    </i>
    <i>
      <x v="47"/>
    </i>
    <i r="1">
      <x v="12"/>
    </i>
    <i>
      <x v="48"/>
    </i>
    <i r="1">
      <x v="12"/>
    </i>
    <i>
      <x v="49"/>
    </i>
    <i r="1">
      <x v="12"/>
    </i>
    <i>
      <x v="50"/>
    </i>
    <i r="1">
      <x v="12"/>
    </i>
    <i>
      <x v="52"/>
    </i>
    <i r="1">
      <x v="12"/>
    </i>
    <i>
      <x v="53"/>
    </i>
    <i r="1">
      <x v="12"/>
    </i>
    <i>
      <x v="54"/>
    </i>
    <i r="1">
      <x v="12"/>
    </i>
    <i>
      <x v="56"/>
    </i>
    <i r="1">
      <x v="12"/>
    </i>
    <i>
      <x v="57"/>
    </i>
    <i r="1">
      <x v="12"/>
    </i>
    <i>
      <x v="58"/>
    </i>
    <i r="1">
      <x v="12"/>
    </i>
    <i>
      <x v="59"/>
    </i>
    <i r="1">
      <x v="12"/>
    </i>
    <i>
      <x v="61"/>
    </i>
    <i r="1">
      <x v="11"/>
    </i>
    <i>
      <x v="62"/>
    </i>
    <i r="1">
      <x v="11"/>
    </i>
    <i>
      <x v="63"/>
    </i>
    <i r="1">
      <x v="11"/>
    </i>
    <i>
      <x v="64"/>
    </i>
    <i r="1">
      <x v="11"/>
    </i>
    <i>
      <x v="65"/>
    </i>
    <i r="1">
      <x v="11"/>
    </i>
    <i>
      <x v="66"/>
    </i>
    <i r="1">
      <x v="11"/>
    </i>
    <i>
      <x v="67"/>
    </i>
    <i r="1">
      <x v="11"/>
    </i>
    <i>
      <x v="68"/>
    </i>
    <i r="1">
      <x v="11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13" sqref="E13"/>
    </sheetView>
  </sheetViews>
  <sheetFormatPr defaultRowHeight="14.4" x14ac:dyDescent="0.3"/>
  <sheetData>
    <row r="1" spans="1:3" ht="15" thickBot="1" x14ac:dyDescent="0.35">
      <c r="A1" s="3" t="s">
        <v>0</v>
      </c>
      <c r="B1" s="4"/>
    </row>
    <row r="2" spans="1:3" ht="15" thickBot="1" x14ac:dyDescent="0.35">
      <c r="A2" s="1" t="s">
        <v>1</v>
      </c>
      <c r="B2" s="2">
        <v>500000</v>
      </c>
      <c r="C2">
        <f>B2+B3</f>
        <v>510500</v>
      </c>
    </row>
    <row r="3" spans="1:3" ht="15" thickBot="1" x14ac:dyDescent="0.35">
      <c r="A3" s="1" t="s">
        <v>2</v>
      </c>
      <c r="B3" s="2">
        <v>10500</v>
      </c>
    </row>
    <row r="4" spans="1:3" ht="27.6" thickBot="1" x14ac:dyDescent="0.35">
      <c r="A4" s="1" t="s">
        <v>3</v>
      </c>
      <c r="B4" s="2">
        <v>25000</v>
      </c>
      <c r="C4">
        <f>SUM(B3,B2)</f>
        <v>510500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RowHeight="14.4" x14ac:dyDescent="0.3"/>
  <sheetData>
    <row r="1" spans="1:4" x14ac:dyDescent="0.3">
      <c r="A1" t="s">
        <v>6</v>
      </c>
      <c r="B1" t="s">
        <v>7</v>
      </c>
      <c r="C1" t="s">
        <v>8</v>
      </c>
    </row>
    <row r="2" spans="1:4" x14ac:dyDescent="0.3">
      <c r="A2" t="s">
        <v>9</v>
      </c>
      <c r="B2">
        <v>90</v>
      </c>
      <c r="C2">
        <v>1000</v>
      </c>
      <c r="D2">
        <f>AVERAGEIFS(C2:C4, B2:B4, "&gt;100", B2:B4, "&lt;300")</f>
        <v>1350</v>
      </c>
    </row>
    <row r="3" spans="1:4" x14ac:dyDescent="0.3">
      <c r="A3" t="s">
        <v>5</v>
      </c>
      <c r="B3">
        <v>150</v>
      </c>
      <c r="C3">
        <v>1200</v>
      </c>
    </row>
    <row r="4" spans="1:4" x14ac:dyDescent="0.3">
      <c r="A4" t="s">
        <v>4</v>
      </c>
      <c r="B4">
        <v>250</v>
      </c>
      <c r="C4">
        <v>1500</v>
      </c>
      <c r="D4">
        <f>(C4+C3)/2</f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12" sqref="C12"/>
    </sheetView>
  </sheetViews>
  <sheetFormatPr defaultRowHeight="16.2" x14ac:dyDescent="0.3"/>
  <cols>
    <col min="1" max="1" width="12.5546875" customWidth="1"/>
    <col min="2" max="2" width="15.88671875" bestFit="1" customWidth="1"/>
  </cols>
  <sheetData>
    <row r="1" spans="1:2" x14ac:dyDescent="0.3">
      <c r="A1" s="7" t="s">
        <v>80</v>
      </c>
      <c r="B1" t="s">
        <v>79</v>
      </c>
    </row>
    <row r="2" spans="1:2" x14ac:dyDescent="0.3">
      <c r="A2" s="8" t="s">
        <v>32</v>
      </c>
      <c r="B2" s="6">
        <v>1928</v>
      </c>
    </row>
    <row r="3" spans="1:2" x14ac:dyDescent="0.3">
      <c r="A3" s="8" t="s">
        <v>25</v>
      </c>
      <c r="B3" s="6">
        <v>3650</v>
      </c>
    </row>
    <row r="4" spans="1:2" x14ac:dyDescent="0.3">
      <c r="A4" s="8" t="s">
        <v>19</v>
      </c>
      <c r="B4" s="6">
        <v>7550</v>
      </c>
    </row>
    <row r="5" spans="1:2" x14ac:dyDescent="0.3">
      <c r="A5" s="8" t="s">
        <v>22</v>
      </c>
      <c r="B5" s="6">
        <v>2180</v>
      </c>
    </row>
    <row r="6" spans="1:2" x14ac:dyDescent="0.3">
      <c r="A6" s="8" t="s">
        <v>29</v>
      </c>
      <c r="B6" s="6">
        <v>1235</v>
      </c>
    </row>
    <row r="7" spans="1:2" x14ac:dyDescent="0.3">
      <c r="A7" s="8" t="s">
        <v>81</v>
      </c>
      <c r="B7" s="6">
        <v>16543</v>
      </c>
    </row>
    <row r="12" spans="1:2" ht="14.4" x14ac:dyDescent="0.3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4"/>
  <sheetViews>
    <sheetView workbookViewId="0">
      <selection activeCell="F2" sqref="F2"/>
    </sheetView>
  </sheetViews>
  <sheetFormatPr defaultRowHeight="16.2" x14ac:dyDescent="0.3"/>
  <cols>
    <col min="1" max="1" width="12.5546875" bestFit="1" customWidth="1"/>
    <col min="2" max="2" width="15.88671875" bestFit="1" customWidth="1"/>
  </cols>
  <sheetData>
    <row r="3" spans="1:2" x14ac:dyDescent="0.3">
      <c r="A3" s="7" t="s">
        <v>80</v>
      </c>
      <c r="B3" t="s">
        <v>79</v>
      </c>
    </row>
    <row r="4" spans="1:2" x14ac:dyDescent="0.3">
      <c r="A4" s="9" t="s">
        <v>83</v>
      </c>
      <c r="B4" s="6">
        <v>500</v>
      </c>
    </row>
    <row r="5" spans="1:2" x14ac:dyDescent="0.3">
      <c r="A5" s="10" t="s">
        <v>82</v>
      </c>
      <c r="B5" s="6">
        <v>500</v>
      </c>
    </row>
    <row r="6" spans="1:2" x14ac:dyDescent="0.3">
      <c r="A6" s="9" t="s">
        <v>84</v>
      </c>
      <c r="B6" s="6">
        <v>200</v>
      </c>
    </row>
    <row r="7" spans="1:2" x14ac:dyDescent="0.3">
      <c r="A7" s="10" t="s">
        <v>82</v>
      </c>
      <c r="B7" s="6">
        <v>200</v>
      </c>
    </row>
    <row r="8" spans="1:2" x14ac:dyDescent="0.3">
      <c r="A8" s="9" t="s">
        <v>85</v>
      </c>
      <c r="B8" s="6">
        <v>375</v>
      </c>
    </row>
    <row r="9" spans="1:2" x14ac:dyDescent="0.3">
      <c r="A9" s="10" t="s">
        <v>82</v>
      </c>
      <c r="B9" s="6">
        <v>375</v>
      </c>
    </row>
    <row r="10" spans="1:2" x14ac:dyDescent="0.3">
      <c r="A10" s="9" t="s">
        <v>86</v>
      </c>
      <c r="B10" s="6">
        <v>250</v>
      </c>
    </row>
    <row r="11" spans="1:2" x14ac:dyDescent="0.3">
      <c r="A11" s="10" t="s">
        <v>82</v>
      </c>
      <c r="B11" s="6">
        <v>250</v>
      </c>
    </row>
    <row r="12" spans="1:2" x14ac:dyDescent="0.3">
      <c r="A12" s="9" t="s">
        <v>87</v>
      </c>
      <c r="B12" s="6">
        <v>150</v>
      </c>
    </row>
    <row r="13" spans="1:2" x14ac:dyDescent="0.3">
      <c r="A13" s="10" t="s">
        <v>82</v>
      </c>
      <c r="B13" s="6">
        <v>150</v>
      </c>
    </row>
    <row r="14" spans="1:2" x14ac:dyDescent="0.3">
      <c r="A14" s="9" t="s">
        <v>88</v>
      </c>
      <c r="B14" s="6">
        <v>600</v>
      </c>
    </row>
    <row r="15" spans="1:2" x14ac:dyDescent="0.3">
      <c r="A15" s="10" t="s">
        <v>82</v>
      </c>
      <c r="B15" s="6">
        <v>600</v>
      </c>
    </row>
    <row r="16" spans="1:2" x14ac:dyDescent="0.3">
      <c r="A16" s="9" t="s">
        <v>89</v>
      </c>
      <c r="B16" s="6">
        <v>200</v>
      </c>
    </row>
    <row r="17" spans="1:2" x14ac:dyDescent="0.3">
      <c r="A17" s="10" t="s">
        <v>82</v>
      </c>
      <c r="B17" s="6">
        <v>200</v>
      </c>
    </row>
    <row r="18" spans="1:2" x14ac:dyDescent="0.3">
      <c r="A18" s="9" t="s">
        <v>90</v>
      </c>
      <c r="B18" s="6">
        <v>180</v>
      </c>
    </row>
    <row r="19" spans="1:2" x14ac:dyDescent="0.3">
      <c r="A19" s="10" t="s">
        <v>82</v>
      </c>
      <c r="B19" s="6">
        <v>180</v>
      </c>
    </row>
    <row r="20" spans="1:2" x14ac:dyDescent="0.3">
      <c r="A20" s="9" t="s">
        <v>91</v>
      </c>
      <c r="B20" s="6">
        <v>550</v>
      </c>
    </row>
    <row r="21" spans="1:2" x14ac:dyDescent="0.3">
      <c r="A21" s="10" t="s">
        <v>82</v>
      </c>
      <c r="B21" s="6">
        <v>550</v>
      </c>
    </row>
    <row r="22" spans="1:2" x14ac:dyDescent="0.3">
      <c r="A22" s="9" t="s">
        <v>92</v>
      </c>
      <c r="B22" s="6">
        <v>400</v>
      </c>
    </row>
    <row r="23" spans="1:2" x14ac:dyDescent="0.3">
      <c r="A23" s="10" t="s">
        <v>82</v>
      </c>
      <c r="B23" s="6">
        <v>400</v>
      </c>
    </row>
    <row r="24" spans="1:2" x14ac:dyDescent="0.3">
      <c r="A24" s="9" t="s">
        <v>93</v>
      </c>
      <c r="B24" s="6">
        <v>200</v>
      </c>
    </row>
    <row r="25" spans="1:2" x14ac:dyDescent="0.3">
      <c r="A25" s="10" t="s">
        <v>82</v>
      </c>
      <c r="B25" s="6">
        <v>200</v>
      </c>
    </row>
    <row r="26" spans="1:2" x14ac:dyDescent="0.3">
      <c r="A26" s="9" t="s">
        <v>94</v>
      </c>
      <c r="B26" s="6">
        <v>280</v>
      </c>
    </row>
    <row r="27" spans="1:2" x14ac:dyDescent="0.3">
      <c r="A27" s="10" t="s">
        <v>82</v>
      </c>
      <c r="B27" s="6">
        <v>280</v>
      </c>
    </row>
    <row r="28" spans="1:2" x14ac:dyDescent="0.3">
      <c r="A28" s="9" t="s">
        <v>95</v>
      </c>
      <c r="B28" s="6">
        <v>700</v>
      </c>
    </row>
    <row r="29" spans="1:2" x14ac:dyDescent="0.3">
      <c r="A29" s="10" t="s">
        <v>82</v>
      </c>
      <c r="B29" s="6">
        <v>700</v>
      </c>
    </row>
    <row r="30" spans="1:2" x14ac:dyDescent="0.3">
      <c r="A30" s="9" t="s">
        <v>96</v>
      </c>
      <c r="B30" s="6">
        <v>280</v>
      </c>
    </row>
    <row r="31" spans="1:2" x14ac:dyDescent="0.3">
      <c r="A31" s="10" t="s">
        <v>82</v>
      </c>
      <c r="B31" s="6">
        <v>280</v>
      </c>
    </row>
    <row r="32" spans="1:2" x14ac:dyDescent="0.3">
      <c r="A32" s="9" t="s">
        <v>97</v>
      </c>
      <c r="B32" s="6">
        <v>300</v>
      </c>
    </row>
    <row r="33" spans="1:2" x14ac:dyDescent="0.3">
      <c r="A33" s="10" t="s">
        <v>82</v>
      </c>
      <c r="B33" s="6">
        <v>300</v>
      </c>
    </row>
    <row r="34" spans="1:2" x14ac:dyDescent="0.3">
      <c r="A34" s="9" t="s">
        <v>98</v>
      </c>
      <c r="B34" s="6">
        <v>125</v>
      </c>
    </row>
    <row r="35" spans="1:2" x14ac:dyDescent="0.3">
      <c r="A35" s="10" t="s">
        <v>82</v>
      </c>
      <c r="B35" s="6">
        <v>125</v>
      </c>
    </row>
    <row r="36" spans="1:2" x14ac:dyDescent="0.3">
      <c r="A36" s="9" t="s">
        <v>99</v>
      </c>
      <c r="B36" s="6">
        <v>160</v>
      </c>
    </row>
    <row r="37" spans="1:2" x14ac:dyDescent="0.3">
      <c r="A37" s="10" t="s">
        <v>82</v>
      </c>
      <c r="B37" s="6">
        <v>160</v>
      </c>
    </row>
    <row r="38" spans="1:2" x14ac:dyDescent="0.3">
      <c r="A38" s="9" t="s">
        <v>100</v>
      </c>
      <c r="B38" s="6">
        <v>500</v>
      </c>
    </row>
    <row r="39" spans="1:2" x14ac:dyDescent="0.3">
      <c r="A39" s="10" t="s">
        <v>82</v>
      </c>
      <c r="B39" s="6">
        <v>500</v>
      </c>
    </row>
    <row r="40" spans="1:2" x14ac:dyDescent="0.3">
      <c r="A40" s="9" t="s">
        <v>101</v>
      </c>
      <c r="B40" s="6">
        <v>150</v>
      </c>
    </row>
    <row r="41" spans="1:2" x14ac:dyDescent="0.3">
      <c r="A41" s="10" t="s">
        <v>82</v>
      </c>
      <c r="B41" s="6">
        <v>150</v>
      </c>
    </row>
    <row r="42" spans="1:2" x14ac:dyDescent="0.3">
      <c r="A42" s="9" t="s">
        <v>103</v>
      </c>
      <c r="B42" s="6">
        <v>450</v>
      </c>
    </row>
    <row r="43" spans="1:2" x14ac:dyDescent="0.3">
      <c r="A43" s="10" t="s">
        <v>102</v>
      </c>
      <c r="B43" s="6">
        <v>450</v>
      </c>
    </row>
    <row r="44" spans="1:2" x14ac:dyDescent="0.3">
      <c r="A44" s="9" t="s">
        <v>104</v>
      </c>
      <c r="B44" s="6">
        <v>450</v>
      </c>
    </row>
    <row r="45" spans="1:2" x14ac:dyDescent="0.3">
      <c r="A45" s="10" t="s">
        <v>102</v>
      </c>
      <c r="B45" s="6">
        <v>450</v>
      </c>
    </row>
    <row r="46" spans="1:2" x14ac:dyDescent="0.3">
      <c r="A46" s="9" t="s">
        <v>105</v>
      </c>
      <c r="B46" s="6">
        <v>175</v>
      </c>
    </row>
    <row r="47" spans="1:2" x14ac:dyDescent="0.3">
      <c r="A47" s="10" t="s">
        <v>102</v>
      </c>
      <c r="B47" s="6">
        <v>175</v>
      </c>
    </row>
    <row r="48" spans="1:2" x14ac:dyDescent="0.3">
      <c r="A48" s="9" t="s">
        <v>106</v>
      </c>
      <c r="B48" s="6">
        <v>240</v>
      </c>
    </row>
    <row r="49" spans="1:2" x14ac:dyDescent="0.3">
      <c r="A49" s="10" t="s">
        <v>102</v>
      </c>
      <c r="B49" s="6">
        <v>240</v>
      </c>
    </row>
    <row r="50" spans="1:2" x14ac:dyDescent="0.3">
      <c r="A50" s="9" t="s">
        <v>107</v>
      </c>
      <c r="B50" s="6">
        <v>550</v>
      </c>
    </row>
    <row r="51" spans="1:2" x14ac:dyDescent="0.3">
      <c r="A51" s="10" t="s">
        <v>102</v>
      </c>
      <c r="B51" s="6">
        <v>550</v>
      </c>
    </row>
    <row r="52" spans="1:2" x14ac:dyDescent="0.3">
      <c r="A52" s="9" t="s">
        <v>108</v>
      </c>
      <c r="B52" s="6">
        <v>140</v>
      </c>
    </row>
    <row r="53" spans="1:2" x14ac:dyDescent="0.3">
      <c r="A53" s="10" t="s">
        <v>102</v>
      </c>
      <c r="B53" s="6">
        <v>140</v>
      </c>
    </row>
    <row r="54" spans="1:2" x14ac:dyDescent="0.3">
      <c r="A54" s="9" t="s">
        <v>109</v>
      </c>
      <c r="B54" s="6">
        <v>400</v>
      </c>
    </row>
    <row r="55" spans="1:2" x14ac:dyDescent="0.3">
      <c r="A55" s="10" t="s">
        <v>102</v>
      </c>
      <c r="B55" s="6">
        <v>400</v>
      </c>
    </row>
    <row r="56" spans="1:2" x14ac:dyDescent="0.3">
      <c r="A56" s="9" t="s">
        <v>110</v>
      </c>
      <c r="B56" s="6">
        <v>110</v>
      </c>
    </row>
    <row r="57" spans="1:2" x14ac:dyDescent="0.3">
      <c r="A57" s="10" t="s">
        <v>102</v>
      </c>
      <c r="B57" s="6">
        <v>110</v>
      </c>
    </row>
    <row r="58" spans="1:2" x14ac:dyDescent="0.3">
      <c r="A58" s="9" t="s">
        <v>111</v>
      </c>
      <c r="B58" s="6">
        <v>216</v>
      </c>
    </row>
    <row r="59" spans="1:2" x14ac:dyDescent="0.3">
      <c r="A59" s="10" t="s">
        <v>102</v>
      </c>
      <c r="B59" s="6">
        <v>216</v>
      </c>
    </row>
    <row r="60" spans="1:2" x14ac:dyDescent="0.3">
      <c r="A60" s="9" t="s">
        <v>112</v>
      </c>
      <c r="B60" s="6">
        <v>650</v>
      </c>
    </row>
    <row r="61" spans="1:2" x14ac:dyDescent="0.3">
      <c r="A61" s="10" t="s">
        <v>102</v>
      </c>
      <c r="B61" s="6">
        <v>650</v>
      </c>
    </row>
    <row r="62" spans="1:2" x14ac:dyDescent="0.3">
      <c r="A62" s="9" t="s">
        <v>113</v>
      </c>
      <c r="B62" s="6">
        <v>320</v>
      </c>
    </row>
    <row r="63" spans="1:2" x14ac:dyDescent="0.3">
      <c r="A63" s="10" t="s">
        <v>102</v>
      </c>
      <c r="B63" s="6">
        <v>320</v>
      </c>
    </row>
    <row r="64" spans="1:2" x14ac:dyDescent="0.3">
      <c r="A64" s="9" t="s">
        <v>114</v>
      </c>
      <c r="B64" s="6">
        <v>250</v>
      </c>
    </row>
    <row r="65" spans="1:2" x14ac:dyDescent="0.3">
      <c r="A65" s="10" t="s">
        <v>102</v>
      </c>
      <c r="B65" s="6">
        <v>250</v>
      </c>
    </row>
    <row r="66" spans="1:2" x14ac:dyDescent="0.3">
      <c r="A66" s="9" t="s">
        <v>115</v>
      </c>
      <c r="B66" s="6">
        <v>90</v>
      </c>
    </row>
    <row r="67" spans="1:2" x14ac:dyDescent="0.3">
      <c r="A67" s="10" t="s">
        <v>102</v>
      </c>
      <c r="B67" s="6">
        <v>90</v>
      </c>
    </row>
    <row r="68" spans="1:2" x14ac:dyDescent="0.3">
      <c r="A68" s="9" t="s">
        <v>116</v>
      </c>
      <c r="B68" s="6">
        <v>176</v>
      </c>
    </row>
    <row r="69" spans="1:2" x14ac:dyDescent="0.3">
      <c r="A69" s="10" t="s">
        <v>102</v>
      </c>
      <c r="B69" s="6">
        <v>176</v>
      </c>
    </row>
    <row r="70" spans="1:2" x14ac:dyDescent="0.3">
      <c r="A70" s="9" t="s">
        <v>117</v>
      </c>
      <c r="B70" s="6">
        <v>850</v>
      </c>
    </row>
    <row r="71" spans="1:2" x14ac:dyDescent="0.3">
      <c r="A71" s="10" t="s">
        <v>102</v>
      </c>
      <c r="B71" s="6">
        <v>850</v>
      </c>
    </row>
    <row r="72" spans="1:2" x14ac:dyDescent="0.3">
      <c r="A72" s="9" t="s">
        <v>118</v>
      </c>
      <c r="B72" s="6">
        <v>190</v>
      </c>
    </row>
    <row r="73" spans="1:2" x14ac:dyDescent="0.3">
      <c r="A73" s="10" t="s">
        <v>102</v>
      </c>
      <c r="B73" s="6">
        <v>190</v>
      </c>
    </row>
    <row r="74" spans="1:2" x14ac:dyDescent="0.3">
      <c r="A74" s="9" t="s">
        <v>119</v>
      </c>
      <c r="B74" s="6">
        <v>375</v>
      </c>
    </row>
    <row r="75" spans="1:2" x14ac:dyDescent="0.3">
      <c r="A75" s="10" t="s">
        <v>102</v>
      </c>
      <c r="B75" s="6">
        <v>375</v>
      </c>
    </row>
    <row r="76" spans="1:2" x14ac:dyDescent="0.3">
      <c r="A76" s="9" t="s">
        <v>120</v>
      </c>
      <c r="B76" s="6">
        <v>140</v>
      </c>
    </row>
    <row r="77" spans="1:2" x14ac:dyDescent="0.3">
      <c r="A77" s="10" t="s">
        <v>102</v>
      </c>
      <c r="B77" s="6">
        <v>140</v>
      </c>
    </row>
    <row r="78" spans="1:2" x14ac:dyDescent="0.3">
      <c r="A78" s="9" t="s">
        <v>121</v>
      </c>
      <c r="B78" s="6">
        <v>192</v>
      </c>
    </row>
    <row r="79" spans="1:2" x14ac:dyDescent="0.3">
      <c r="A79" s="10" t="s">
        <v>102</v>
      </c>
      <c r="B79" s="6">
        <v>192</v>
      </c>
    </row>
    <row r="80" spans="1:2" x14ac:dyDescent="0.3">
      <c r="A80" s="9" t="s">
        <v>122</v>
      </c>
      <c r="B80" s="6">
        <v>800</v>
      </c>
    </row>
    <row r="81" spans="1:2" x14ac:dyDescent="0.3">
      <c r="A81" s="10" t="s">
        <v>102</v>
      </c>
      <c r="B81" s="6">
        <v>800</v>
      </c>
    </row>
    <row r="82" spans="1:2" x14ac:dyDescent="0.3">
      <c r="A82" s="9" t="s">
        <v>123</v>
      </c>
      <c r="B82" s="6">
        <v>270</v>
      </c>
    </row>
    <row r="83" spans="1:2" x14ac:dyDescent="0.3">
      <c r="A83" s="10" t="s">
        <v>102</v>
      </c>
      <c r="B83" s="6">
        <v>270</v>
      </c>
    </row>
    <row r="84" spans="1:2" x14ac:dyDescent="0.3">
      <c r="A84" s="9" t="s">
        <v>124</v>
      </c>
      <c r="B84" s="6">
        <v>525</v>
      </c>
    </row>
    <row r="85" spans="1:2" x14ac:dyDescent="0.3">
      <c r="A85" s="10" t="s">
        <v>102</v>
      </c>
      <c r="B85" s="6">
        <v>525</v>
      </c>
    </row>
    <row r="86" spans="1:2" x14ac:dyDescent="0.3">
      <c r="A86" s="9" t="s">
        <v>125</v>
      </c>
      <c r="B86" s="6">
        <v>150</v>
      </c>
    </row>
    <row r="87" spans="1:2" x14ac:dyDescent="0.3">
      <c r="A87" s="10" t="s">
        <v>102</v>
      </c>
      <c r="B87" s="6">
        <v>150</v>
      </c>
    </row>
    <row r="88" spans="1:2" x14ac:dyDescent="0.3">
      <c r="A88" s="9" t="s">
        <v>127</v>
      </c>
      <c r="B88" s="6">
        <v>208</v>
      </c>
    </row>
    <row r="89" spans="1:2" x14ac:dyDescent="0.3">
      <c r="A89" s="10" t="s">
        <v>126</v>
      </c>
      <c r="B89" s="6">
        <v>208</v>
      </c>
    </row>
    <row r="90" spans="1:2" x14ac:dyDescent="0.3">
      <c r="A90" s="9" t="s">
        <v>128</v>
      </c>
      <c r="B90" s="6">
        <v>700</v>
      </c>
    </row>
    <row r="91" spans="1:2" x14ac:dyDescent="0.3">
      <c r="A91" s="10" t="s">
        <v>126</v>
      </c>
      <c r="B91" s="6">
        <v>700</v>
      </c>
    </row>
    <row r="92" spans="1:2" x14ac:dyDescent="0.3">
      <c r="A92" s="9" t="s">
        <v>129</v>
      </c>
      <c r="B92" s="6">
        <v>200</v>
      </c>
    </row>
    <row r="93" spans="1:2" x14ac:dyDescent="0.3">
      <c r="A93" s="10" t="s">
        <v>126</v>
      </c>
      <c r="B93" s="6">
        <v>200</v>
      </c>
    </row>
    <row r="94" spans="1:2" x14ac:dyDescent="0.3">
      <c r="A94" s="9" t="s">
        <v>130</v>
      </c>
      <c r="B94" s="6">
        <v>425</v>
      </c>
    </row>
    <row r="95" spans="1:2" x14ac:dyDescent="0.3">
      <c r="A95" s="10" t="s">
        <v>126</v>
      </c>
      <c r="B95" s="6">
        <v>425</v>
      </c>
    </row>
    <row r="96" spans="1:2" x14ac:dyDescent="0.3">
      <c r="A96" s="9" t="s">
        <v>131</v>
      </c>
      <c r="B96" s="6">
        <v>95</v>
      </c>
    </row>
    <row r="97" spans="1:2" x14ac:dyDescent="0.3">
      <c r="A97" s="10" t="s">
        <v>126</v>
      </c>
      <c r="B97" s="6">
        <v>95</v>
      </c>
    </row>
    <row r="98" spans="1:2" x14ac:dyDescent="0.3">
      <c r="A98" s="9" t="s">
        <v>132</v>
      </c>
      <c r="B98" s="6">
        <v>256</v>
      </c>
    </row>
    <row r="99" spans="1:2" x14ac:dyDescent="0.3">
      <c r="A99" s="10" t="s">
        <v>126</v>
      </c>
      <c r="B99" s="6">
        <v>256</v>
      </c>
    </row>
    <row r="100" spans="1:2" x14ac:dyDescent="0.3">
      <c r="A100" s="9" t="s">
        <v>133</v>
      </c>
      <c r="B100" s="6">
        <v>600</v>
      </c>
    </row>
    <row r="101" spans="1:2" x14ac:dyDescent="0.3">
      <c r="A101" s="10" t="s">
        <v>126</v>
      </c>
      <c r="B101" s="6">
        <v>600</v>
      </c>
    </row>
    <row r="102" spans="1:2" x14ac:dyDescent="0.3">
      <c r="A102" s="9" t="s">
        <v>134</v>
      </c>
      <c r="B102" s="6">
        <v>250</v>
      </c>
    </row>
    <row r="103" spans="1:2" x14ac:dyDescent="0.3">
      <c r="A103" s="10" t="s">
        <v>126</v>
      </c>
      <c r="B103" s="6">
        <v>250</v>
      </c>
    </row>
    <row r="104" spans="1:2" x14ac:dyDescent="0.3">
      <c r="A104" s="9" t="s">
        <v>81</v>
      </c>
      <c r="B104" s="6">
        <v>16543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12" zoomScale="120" zoomScaleNormal="120" workbookViewId="0">
      <selection activeCell="I14" sqref="I14"/>
    </sheetView>
  </sheetViews>
  <sheetFormatPr defaultRowHeight="14.4" x14ac:dyDescent="0.3"/>
  <cols>
    <col min="7" max="7" width="10.33203125" bestFit="1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s="5" t="s">
        <v>16</v>
      </c>
      <c r="H1" t="s">
        <v>77</v>
      </c>
    </row>
    <row r="2" spans="1:8" x14ac:dyDescent="0.3">
      <c r="A2">
        <v>1032</v>
      </c>
      <c r="B2" t="s">
        <v>57</v>
      </c>
      <c r="C2" t="s">
        <v>27</v>
      </c>
      <c r="D2" t="s">
        <v>29</v>
      </c>
      <c r="E2">
        <v>18</v>
      </c>
      <c r="F2">
        <v>5</v>
      </c>
      <c r="G2" s="5">
        <v>45338</v>
      </c>
      <c r="H2">
        <f>E2*F2</f>
        <v>90</v>
      </c>
    </row>
    <row r="3" spans="1:8" x14ac:dyDescent="0.3">
      <c r="A3">
        <v>1047</v>
      </c>
      <c r="B3" t="s">
        <v>72</v>
      </c>
      <c r="C3" t="s">
        <v>24</v>
      </c>
      <c r="D3" t="s">
        <v>29</v>
      </c>
      <c r="E3">
        <v>19</v>
      </c>
      <c r="F3">
        <v>5</v>
      </c>
      <c r="G3" s="5">
        <v>45356</v>
      </c>
      <c r="H3">
        <f>E3*F3</f>
        <v>95</v>
      </c>
    </row>
    <row r="4" spans="1:8" x14ac:dyDescent="0.3">
      <c r="A4">
        <v>1027</v>
      </c>
      <c r="B4" t="s">
        <v>52</v>
      </c>
      <c r="C4" t="s">
        <v>24</v>
      </c>
      <c r="D4" t="s">
        <v>29</v>
      </c>
      <c r="E4">
        <v>22</v>
      </c>
      <c r="F4">
        <v>5</v>
      </c>
      <c r="G4" s="5">
        <v>45331</v>
      </c>
      <c r="H4">
        <f>E4*F4</f>
        <v>110</v>
      </c>
    </row>
    <row r="5" spans="1:8" x14ac:dyDescent="0.3">
      <c r="A5">
        <v>1016</v>
      </c>
      <c r="B5" t="s">
        <v>41</v>
      </c>
      <c r="C5" t="s">
        <v>27</v>
      </c>
      <c r="D5" t="s">
        <v>29</v>
      </c>
      <c r="E5">
        <v>25</v>
      </c>
      <c r="F5">
        <v>5</v>
      </c>
      <c r="G5" s="5">
        <v>45317</v>
      </c>
      <c r="H5">
        <f>E5*F5</f>
        <v>125</v>
      </c>
    </row>
    <row r="6" spans="1:8" x14ac:dyDescent="0.3">
      <c r="A6">
        <v>1025</v>
      </c>
      <c r="B6" t="s">
        <v>50</v>
      </c>
      <c r="C6" t="s">
        <v>18</v>
      </c>
      <c r="D6" t="s">
        <v>22</v>
      </c>
      <c r="E6">
        <v>14</v>
      </c>
      <c r="F6">
        <v>10</v>
      </c>
      <c r="G6" s="5">
        <v>45329</v>
      </c>
      <c r="H6">
        <f>E6*F6</f>
        <v>140</v>
      </c>
    </row>
    <row r="7" spans="1:8" x14ac:dyDescent="0.3">
      <c r="A7">
        <v>1037</v>
      </c>
      <c r="B7" t="s">
        <v>62</v>
      </c>
      <c r="C7" t="s">
        <v>18</v>
      </c>
      <c r="D7" t="s">
        <v>29</v>
      </c>
      <c r="E7">
        <v>28</v>
      </c>
      <c r="F7">
        <v>5</v>
      </c>
      <c r="G7" s="5">
        <v>45344</v>
      </c>
      <c r="H7">
        <f>E7*F7</f>
        <v>140</v>
      </c>
    </row>
    <row r="8" spans="1:8" x14ac:dyDescent="0.3">
      <c r="A8">
        <v>1005</v>
      </c>
      <c r="B8" t="s">
        <v>28</v>
      </c>
      <c r="C8" t="s">
        <v>18</v>
      </c>
      <c r="D8" t="s">
        <v>29</v>
      </c>
      <c r="E8">
        <v>30</v>
      </c>
      <c r="F8">
        <v>5</v>
      </c>
      <c r="G8" s="5">
        <v>45301</v>
      </c>
      <c r="H8">
        <f>E8*F8</f>
        <v>150</v>
      </c>
    </row>
    <row r="9" spans="1:8" x14ac:dyDescent="0.3">
      <c r="A9">
        <v>1019</v>
      </c>
      <c r="B9" t="s">
        <v>44</v>
      </c>
      <c r="C9" t="s">
        <v>24</v>
      </c>
      <c r="D9" t="s">
        <v>22</v>
      </c>
      <c r="E9">
        <v>15</v>
      </c>
      <c r="F9">
        <v>10</v>
      </c>
      <c r="G9" s="5">
        <v>45321</v>
      </c>
      <c r="H9">
        <f>E9*F9</f>
        <v>150</v>
      </c>
    </row>
    <row r="10" spans="1:8" x14ac:dyDescent="0.3">
      <c r="A10">
        <v>1042</v>
      </c>
      <c r="B10" t="s">
        <v>67</v>
      </c>
      <c r="C10" t="s">
        <v>21</v>
      </c>
      <c r="D10" t="s">
        <v>29</v>
      </c>
      <c r="E10">
        <v>30</v>
      </c>
      <c r="F10">
        <v>5</v>
      </c>
      <c r="G10" s="5">
        <v>45350</v>
      </c>
      <c r="H10">
        <f>E10*F10</f>
        <v>150</v>
      </c>
    </row>
    <row r="11" spans="1:8" x14ac:dyDescent="0.3">
      <c r="A11">
        <v>1017</v>
      </c>
      <c r="B11" t="s">
        <v>42</v>
      </c>
      <c r="C11" t="s">
        <v>18</v>
      </c>
      <c r="D11" t="s">
        <v>32</v>
      </c>
      <c r="E11">
        <v>20</v>
      </c>
      <c r="F11">
        <v>8</v>
      </c>
      <c r="G11" s="5">
        <v>45319</v>
      </c>
      <c r="H11">
        <f>E11*F11</f>
        <v>160</v>
      </c>
    </row>
    <row r="12" spans="1:8" x14ac:dyDescent="0.3">
      <c r="A12">
        <v>1022</v>
      </c>
      <c r="B12" t="s">
        <v>47</v>
      </c>
      <c r="C12" t="s">
        <v>21</v>
      </c>
      <c r="D12" t="s">
        <v>29</v>
      </c>
      <c r="E12">
        <v>35</v>
      </c>
      <c r="F12">
        <v>5</v>
      </c>
      <c r="G12" s="5">
        <v>45325</v>
      </c>
      <c r="H12">
        <f>E12*F12</f>
        <v>175</v>
      </c>
    </row>
    <row r="13" spans="1:8" x14ac:dyDescent="0.3">
      <c r="A13">
        <v>1033</v>
      </c>
      <c r="B13" t="s">
        <v>58</v>
      </c>
      <c r="C13" t="s">
        <v>18</v>
      </c>
      <c r="D13" t="s">
        <v>32</v>
      </c>
      <c r="E13">
        <v>22</v>
      </c>
      <c r="F13">
        <v>8</v>
      </c>
      <c r="G13" s="5">
        <v>45339</v>
      </c>
      <c r="H13">
        <f>E13*F13</f>
        <v>176</v>
      </c>
    </row>
    <row r="14" spans="1:8" x14ac:dyDescent="0.3">
      <c r="A14">
        <v>1008</v>
      </c>
      <c r="B14" t="s">
        <v>33</v>
      </c>
      <c r="C14" t="s">
        <v>27</v>
      </c>
      <c r="D14" t="s">
        <v>22</v>
      </c>
      <c r="E14">
        <v>18</v>
      </c>
      <c r="F14">
        <v>10</v>
      </c>
      <c r="G14" s="5">
        <v>45306</v>
      </c>
      <c r="H14">
        <f>E14*F14</f>
        <v>180</v>
      </c>
    </row>
    <row r="15" spans="1:8" x14ac:dyDescent="0.3">
      <c r="A15">
        <v>1035</v>
      </c>
      <c r="B15" t="s">
        <v>60</v>
      </c>
      <c r="C15" t="s">
        <v>24</v>
      </c>
      <c r="D15" t="s">
        <v>22</v>
      </c>
      <c r="E15">
        <v>19</v>
      </c>
      <c r="F15">
        <v>10</v>
      </c>
      <c r="G15" s="5">
        <v>45341</v>
      </c>
      <c r="H15">
        <f>E15*F15</f>
        <v>190</v>
      </c>
    </row>
    <row r="16" spans="1:8" x14ac:dyDescent="0.3">
      <c r="A16">
        <v>1038</v>
      </c>
      <c r="B16" t="s">
        <v>63</v>
      </c>
      <c r="C16" t="s">
        <v>21</v>
      </c>
      <c r="D16" t="s">
        <v>32</v>
      </c>
      <c r="E16">
        <v>24</v>
      </c>
      <c r="F16">
        <v>8</v>
      </c>
      <c r="G16" s="5">
        <v>45345</v>
      </c>
      <c r="H16">
        <f>E16*F16</f>
        <v>192</v>
      </c>
    </row>
    <row r="17" spans="1:12" x14ac:dyDescent="0.3">
      <c r="A17">
        <v>1002</v>
      </c>
      <c r="B17" t="s">
        <v>20</v>
      </c>
      <c r="C17" t="s">
        <v>21</v>
      </c>
      <c r="D17" t="s">
        <v>22</v>
      </c>
      <c r="E17">
        <v>20</v>
      </c>
      <c r="F17">
        <v>10</v>
      </c>
      <c r="G17" s="5">
        <v>45297</v>
      </c>
      <c r="H17">
        <f>E17*F17</f>
        <v>200</v>
      </c>
    </row>
    <row r="18" spans="1:12" x14ac:dyDescent="0.3">
      <c r="A18">
        <v>1007</v>
      </c>
      <c r="B18" t="s">
        <v>31</v>
      </c>
      <c r="C18" t="s">
        <v>24</v>
      </c>
      <c r="D18" t="s">
        <v>32</v>
      </c>
      <c r="E18">
        <v>25</v>
      </c>
      <c r="F18">
        <v>8</v>
      </c>
      <c r="G18" s="5">
        <v>45304</v>
      </c>
      <c r="H18">
        <f>E18*F18</f>
        <v>200</v>
      </c>
    </row>
    <row r="19" spans="1:12" x14ac:dyDescent="0.3">
      <c r="A19">
        <v>1011</v>
      </c>
      <c r="B19" t="s">
        <v>36</v>
      </c>
      <c r="C19" t="s">
        <v>24</v>
      </c>
      <c r="D19" t="s">
        <v>29</v>
      </c>
      <c r="E19">
        <v>40</v>
      </c>
      <c r="F19">
        <v>5</v>
      </c>
      <c r="G19" s="5">
        <v>45310</v>
      </c>
      <c r="H19">
        <f>E19*F19</f>
        <v>200</v>
      </c>
    </row>
    <row r="20" spans="1:12" x14ac:dyDescent="0.3">
      <c r="A20">
        <v>1045</v>
      </c>
      <c r="B20" t="s">
        <v>70</v>
      </c>
      <c r="C20" t="s">
        <v>18</v>
      </c>
      <c r="D20" t="s">
        <v>22</v>
      </c>
      <c r="E20">
        <v>20</v>
      </c>
      <c r="F20">
        <v>10</v>
      </c>
      <c r="G20" s="5">
        <v>45354</v>
      </c>
      <c r="H20">
        <f>E20*F20</f>
        <v>200</v>
      </c>
    </row>
    <row r="21" spans="1:12" x14ac:dyDescent="0.3">
      <c r="A21">
        <v>1043</v>
      </c>
      <c r="B21" t="s">
        <v>68</v>
      </c>
      <c r="C21" t="s">
        <v>24</v>
      </c>
      <c r="D21" t="s">
        <v>32</v>
      </c>
      <c r="E21">
        <v>26</v>
      </c>
      <c r="F21">
        <v>8</v>
      </c>
      <c r="G21" s="5">
        <v>45352</v>
      </c>
      <c r="H21">
        <f>E21*F21</f>
        <v>208</v>
      </c>
    </row>
    <row r="22" spans="1:12" x14ac:dyDescent="0.3">
      <c r="A22">
        <v>1028</v>
      </c>
      <c r="B22" t="s">
        <v>53</v>
      </c>
      <c r="C22" t="s">
        <v>27</v>
      </c>
      <c r="D22" t="s">
        <v>32</v>
      </c>
      <c r="E22">
        <v>27</v>
      </c>
      <c r="F22">
        <v>8</v>
      </c>
      <c r="G22" s="5">
        <v>45332</v>
      </c>
      <c r="H22">
        <f>E22*F22</f>
        <v>216</v>
      </c>
    </row>
    <row r="23" spans="1:12" x14ac:dyDescent="0.3">
      <c r="A23">
        <v>1023</v>
      </c>
      <c r="B23" t="s">
        <v>48</v>
      </c>
      <c r="C23" t="s">
        <v>24</v>
      </c>
      <c r="D23" t="s">
        <v>32</v>
      </c>
      <c r="E23">
        <v>30</v>
      </c>
      <c r="F23">
        <v>8</v>
      </c>
      <c r="G23" s="5">
        <v>45326</v>
      </c>
      <c r="H23">
        <f>E23*F23</f>
        <v>240</v>
      </c>
    </row>
    <row r="24" spans="1:12" x14ac:dyDescent="0.3">
      <c r="A24">
        <v>1004</v>
      </c>
      <c r="B24" t="s">
        <v>26</v>
      </c>
      <c r="C24" t="s">
        <v>27</v>
      </c>
      <c r="D24" t="s">
        <v>19</v>
      </c>
      <c r="E24">
        <v>5</v>
      </c>
      <c r="F24">
        <v>50</v>
      </c>
      <c r="G24" s="5">
        <v>45299</v>
      </c>
      <c r="H24">
        <f>E24*F24</f>
        <v>250</v>
      </c>
    </row>
    <row r="25" spans="1:12" x14ac:dyDescent="0.3">
      <c r="A25">
        <v>1031</v>
      </c>
      <c r="B25" t="s">
        <v>56</v>
      </c>
      <c r="C25" t="s">
        <v>24</v>
      </c>
      <c r="D25" t="s">
        <v>25</v>
      </c>
      <c r="E25">
        <v>10</v>
      </c>
      <c r="F25">
        <v>25</v>
      </c>
      <c r="G25" s="5">
        <v>45336</v>
      </c>
      <c r="H25">
        <f>E25*F25</f>
        <v>250</v>
      </c>
      <c r="K25" t="s">
        <v>78</v>
      </c>
      <c r="L25">
        <f>SUMIFS(H2:H51, D2:D51, "Notebook", C2:C51, "North")</f>
        <v>2900</v>
      </c>
    </row>
    <row r="26" spans="1:12" x14ac:dyDescent="0.3">
      <c r="A26">
        <v>1050</v>
      </c>
      <c r="B26" t="s">
        <v>75</v>
      </c>
      <c r="C26" t="s">
        <v>21</v>
      </c>
      <c r="D26" t="s">
        <v>22</v>
      </c>
      <c r="E26">
        <v>25</v>
      </c>
      <c r="F26">
        <v>10</v>
      </c>
      <c r="G26" s="5">
        <v>45359</v>
      </c>
      <c r="H26">
        <f>E26*F26</f>
        <v>250</v>
      </c>
    </row>
    <row r="27" spans="1:12" x14ac:dyDescent="0.3">
      <c r="A27">
        <v>1048</v>
      </c>
      <c r="B27" t="s">
        <v>73</v>
      </c>
      <c r="C27" t="s">
        <v>27</v>
      </c>
      <c r="D27" t="s">
        <v>32</v>
      </c>
      <c r="E27">
        <v>32</v>
      </c>
      <c r="F27">
        <v>8</v>
      </c>
      <c r="G27" s="5">
        <v>45357</v>
      </c>
      <c r="H27">
        <f>E27*F27</f>
        <v>256</v>
      </c>
    </row>
    <row r="28" spans="1:12" x14ac:dyDescent="0.3">
      <c r="A28">
        <v>1040</v>
      </c>
      <c r="B28" t="s">
        <v>65</v>
      </c>
      <c r="C28" t="s">
        <v>27</v>
      </c>
      <c r="D28" t="s">
        <v>22</v>
      </c>
      <c r="E28">
        <v>27</v>
      </c>
      <c r="F28">
        <v>10</v>
      </c>
      <c r="G28" s="5">
        <v>45348</v>
      </c>
      <c r="H28">
        <f>E28*F28</f>
        <v>270</v>
      </c>
    </row>
    <row r="29" spans="1:12" x14ac:dyDescent="0.3">
      <c r="A29">
        <v>1012</v>
      </c>
      <c r="B29" t="s">
        <v>37</v>
      </c>
      <c r="C29" t="s">
        <v>27</v>
      </c>
      <c r="D29" t="s">
        <v>32</v>
      </c>
      <c r="E29">
        <v>35</v>
      </c>
      <c r="F29">
        <v>8</v>
      </c>
      <c r="G29" s="5">
        <v>45311</v>
      </c>
      <c r="H29">
        <f>E29*F29</f>
        <v>280</v>
      </c>
    </row>
    <row r="30" spans="1:12" x14ac:dyDescent="0.3">
      <c r="A30">
        <v>1014</v>
      </c>
      <c r="B30" t="s">
        <v>39</v>
      </c>
      <c r="C30" t="s">
        <v>21</v>
      </c>
      <c r="D30" t="s">
        <v>22</v>
      </c>
      <c r="E30">
        <v>28</v>
      </c>
      <c r="F30">
        <v>10</v>
      </c>
      <c r="G30" s="5">
        <v>45314</v>
      </c>
      <c r="H30">
        <f>E30*F30</f>
        <v>280</v>
      </c>
    </row>
    <row r="31" spans="1:12" x14ac:dyDescent="0.3">
      <c r="A31">
        <v>1015</v>
      </c>
      <c r="B31" t="s">
        <v>40</v>
      </c>
      <c r="C31" t="s">
        <v>24</v>
      </c>
      <c r="D31" t="s">
        <v>25</v>
      </c>
      <c r="E31">
        <v>12</v>
      </c>
      <c r="F31">
        <v>25</v>
      </c>
      <c r="G31" s="5">
        <v>45315</v>
      </c>
      <c r="H31">
        <f>E31*F31</f>
        <v>300</v>
      </c>
    </row>
    <row r="32" spans="1:12" x14ac:dyDescent="0.3">
      <c r="A32">
        <v>1030</v>
      </c>
      <c r="B32" t="s">
        <v>55</v>
      </c>
      <c r="C32" t="s">
        <v>21</v>
      </c>
      <c r="D32" t="s">
        <v>22</v>
      </c>
      <c r="E32">
        <v>32</v>
      </c>
      <c r="F32">
        <v>10</v>
      </c>
      <c r="G32" s="5">
        <v>45335</v>
      </c>
      <c r="H32">
        <f>E32*F32</f>
        <v>320</v>
      </c>
    </row>
    <row r="33" spans="1:8" x14ac:dyDescent="0.3">
      <c r="A33">
        <v>1003</v>
      </c>
      <c r="B33" t="s">
        <v>23</v>
      </c>
      <c r="C33" t="s">
        <v>24</v>
      </c>
      <c r="D33" t="s">
        <v>25</v>
      </c>
      <c r="E33">
        <v>15</v>
      </c>
      <c r="F33">
        <v>25</v>
      </c>
      <c r="G33" s="5">
        <v>45298</v>
      </c>
      <c r="H33">
        <f>E33*F33</f>
        <v>375</v>
      </c>
    </row>
    <row r="34" spans="1:8" x14ac:dyDescent="0.3">
      <c r="A34">
        <v>1036</v>
      </c>
      <c r="B34" t="s">
        <v>61</v>
      </c>
      <c r="C34" t="s">
        <v>27</v>
      </c>
      <c r="D34" t="s">
        <v>25</v>
      </c>
      <c r="E34">
        <v>15</v>
      </c>
      <c r="F34">
        <v>25</v>
      </c>
      <c r="G34" s="5">
        <v>45343</v>
      </c>
      <c r="H34">
        <f>E34*F34</f>
        <v>375</v>
      </c>
    </row>
    <row r="35" spans="1:8" x14ac:dyDescent="0.3">
      <c r="A35">
        <v>1010</v>
      </c>
      <c r="B35" t="s">
        <v>35</v>
      </c>
      <c r="C35" t="s">
        <v>21</v>
      </c>
      <c r="D35" t="s">
        <v>19</v>
      </c>
      <c r="E35">
        <v>8</v>
      </c>
      <c r="F35">
        <v>50</v>
      </c>
      <c r="G35" s="5">
        <v>45309</v>
      </c>
      <c r="H35">
        <f>E35*F35</f>
        <v>400</v>
      </c>
    </row>
    <row r="36" spans="1:8" x14ac:dyDescent="0.3">
      <c r="A36">
        <v>1026</v>
      </c>
      <c r="B36" t="s">
        <v>51</v>
      </c>
      <c r="C36" t="s">
        <v>21</v>
      </c>
      <c r="D36" t="s">
        <v>25</v>
      </c>
      <c r="E36">
        <v>16</v>
      </c>
      <c r="F36">
        <v>25</v>
      </c>
      <c r="G36" s="5">
        <v>45330</v>
      </c>
      <c r="H36">
        <f>E36*F36</f>
        <v>400</v>
      </c>
    </row>
    <row r="37" spans="1:8" x14ac:dyDescent="0.3">
      <c r="A37">
        <v>1046</v>
      </c>
      <c r="B37" t="s">
        <v>71</v>
      </c>
      <c r="C37" t="s">
        <v>21</v>
      </c>
      <c r="D37" t="s">
        <v>25</v>
      </c>
      <c r="E37">
        <v>17</v>
      </c>
      <c r="F37">
        <v>25</v>
      </c>
      <c r="G37" s="5">
        <v>45355</v>
      </c>
      <c r="H37">
        <f>E37*F37</f>
        <v>425</v>
      </c>
    </row>
    <row r="38" spans="1:8" x14ac:dyDescent="0.3">
      <c r="A38">
        <v>1020</v>
      </c>
      <c r="B38" t="s">
        <v>45</v>
      </c>
      <c r="C38" t="s">
        <v>27</v>
      </c>
      <c r="D38" t="s">
        <v>25</v>
      </c>
      <c r="E38">
        <v>18</v>
      </c>
      <c r="F38">
        <v>25</v>
      </c>
      <c r="G38" s="5">
        <v>45323</v>
      </c>
      <c r="H38">
        <f>E38*F38</f>
        <v>450</v>
      </c>
    </row>
    <row r="39" spans="1:8" x14ac:dyDescent="0.3">
      <c r="A39">
        <v>1021</v>
      </c>
      <c r="B39" t="s">
        <v>46</v>
      </c>
      <c r="C39" t="s">
        <v>18</v>
      </c>
      <c r="D39" t="s">
        <v>19</v>
      </c>
      <c r="E39">
        <v>9</v>
      </c>
      <c r="F39">
        <v>50</v>
      </c>
      <c r="G39" s="5">
        <v>45324</v>
      </c>
      <c r="H39">
        <f>E39*F39</f>
        <v>450</v>
      </c>
    </row>
    <row r="40" spans="1:8" x14ac:dyDescent="0.3">
      <c r="A40">
        <v>1001</v>
      </c>
      <c r="B40" t="s">
        <v>17</v>
      </c>
      <c r="C40" t="s">
        <v>18</v>
      </c>
      <c r="D40" t="s">
        <v>19</v>
      </c>
      <c r="E40">
        <v>10</v>
      </c>
      <c r="F40">
        <v>50</v>
      </c>
      <c r="G40" s="5">
        <v>45296</v>
      </c>
      <c r="H40">
        <f>E40*F40</f>
        <v>500</v>
      </c>
    </row>
    <row r="41" spans="1:8" x14ac:dyDescent="0.3">
      <c r="A41">
        <v>1018</v>
      </c>
      <c r="B41" t="s">
        <v>43</v>
      </c>
      <c r="C41" t="s">
        <v>21</v>
      </c>
      <c r="D41" t="s">
        <v>19</v>
      </c>
      <c r="E41">
        <v>10</v>
      </c>
      <c r="F41">
        <v>50</v>
      </c>
      <c r="G41" s="5">
        <v>45320</v>
      </c>
      <c r="H41">
        <f>E41*F41</f>
        <v>500</v>
      </c>
    </row>
    <row r="42" spans="1:8" x14ac:dyDescent="0.3">
      <c r="A42">
        <v>1041</v>
      </c>
      <c r="B42" t="s">
        <v>66</v>
      </c>
      <c r="C42" t="s">
        <v>18</v>
      </c>
      <c r="D42" t="s">
        <v>25</v>
      </c>
      <c r="E42">
        <v>21</v>
      </c>
      <c r="F42">
        <v>25</v>
      </c>
      <c r="G42" s="5">
        <v>45349</v>
      </c>
      <c r="H42">
        <f>E42*F42</f>
        <v>525</v>
      </c>
    </row>
    <row r="43" spans="1:8" x14ac:dyDescent="0.3">
      <c r="A43">
        <v>1009</v>
      </c>
      <c r="B43" t="s">
        <v>34</v>
      </c>
      <c r="C43" t="s">
        <v>18</v>
      </c>
      <c r="D43" t="s">
        <v>25</v>
      </c>
      <c r="E43">
        <v>22</v>
      </c>
      <c r="F43">
        <v>25</v>
      </c>
      <c r="G43" s="5">
        <v>45308</v>
      </c>
      <c r="H43">
        <f>E43*F43</f>
        <v>550</v>
      </c>
    </row>
    <row r="44" spans="1:8" x14ac:dyDescent="0.3">
      <c r="A44">
        <v>1024</v>
      </c>
      <c r="B44" t="s">
        <v>49</v>
      </c>
      <c r="C44" t="s">
        <v>27</v>
      </c>
      <c r="D44" t="s">
        <v>19</v>
      </c>
      <c r="E44">
        <v>11</v>
      </c>
      <c r="F44">
        <v>50</v>
      </c>
      <c r="G44" s="5">
        <v>45328</v>
      </c>
      <c r="H44">
        <f>E44*F44</f>
        <v>550</v>
      </c>
    </row>
    <row r="45" spans="1:8" x14ac:dyDescent="0.3">
      <c r="A45">
        <v>1006</v>
      </c>
      <c r="B45" t="s">
        <v>30</v>
      </c>
      <c r="C45" t="s">
        <v>21</v>
      </c>
      <c r="D45" t="s">
        <v>19</v>
      </c>
      <c r="E45">
        <v>12</v>
      </c>
      <c r="F45">
        <v>50</v>
      </c>
      <c r="G45" s="5">
        <v>45302</v>
      </c>
      <c r="H45">
        <f>E45*F45</f>
        <v>600</v>
      </c>
    </row>
    <row r="46" spans="1:8" x14ac:dyDescent="0.3">
      <c r="A46">
        <v>1049</v>
      </c>
      <c r="B46" t="s">
        <v>74</v>
      </c>
      <c r="C46" t="s">
        <v>18</v>
      </c>
      <c r="D46" t="s">
        <v>19</v>
      </c>
      <c r="E46">
        <v>12</v>
      </c>
      <c r="F46">
        <v>50</v>
      </c>
      <c r="G46" s="5">
        <v>45358</v>
      </c>
      <c r="H46">
        <f>E46*F46</f>
        <v>600</v>
      </c>
    </row>
    <row r="47" spans="1:8" x14ac:dyDescent="0.3">
      <c r="A47">
        <v>1029</v>
      </c>
      <c r="B47" t="s">
        <v>54</v>
      </c>
      <c r="C47" t="s">
        <v>18</v>
      </c>
      <c r="D47" t="s">
        <v>19</v>
      </c>
      <c r="E47">
        <v>13</v>
      </c>
      <c r="F47">
        <v>50</v>
      </c>
      <c r="G47" s="5">
        <v>45334</v>
      </c>
      <c r="H47">
        <f>E47*F47</f>
        <v>650</v>
      </c>
    </row>
    <row r="48" spans="1:8" x14ac:dyDescent="0.3">
      <c r="A48">
        <v>1013</v>
      </c>
      <c r="B48" t="s">
        <v>38</v>
      </c>
      <c r="C48" t="s">
        <v>18</v>
      </c>
      <c r="D48" t="s">
        <v>19</v>
      </c>
      <c r="E48">
        <v>14</v>
      </c>
      <c r="F48">
        <v>50</v>
      </c>
      <c r="G48" s="5">
        <v>45313</v>
      </c>
      <c r="H48">
        <f>E48*F48</f>
        <v>700</v>
      </c>
    </row>
    <row r="49" spans="1:8" x14ac:dyDescent="0.3">
      <c r="A49">
        <v>1044</v>
      </c>
      <c r="B49" t="s">
        <v>69</v>
      </c>
      <c r="C49" t="s">
        <v>27</v>
      </c>
      <c r="D49" t="s">
        <v>19</v>
      </c>
      <c r="E49">
        <v>14</v>
      </c>
      <c r="F49">
        <v>50</v>
      </c>
      <c r="G49" s="5">
        <v>45353</v>
      </c>
      <c r="H49">
        <f>E49*F49</f>
        <v>700</v>
      </c>
    </row>
    <row r="50" spans="1:8" x14ac:dyDescent="0.3">
      <c r="A50">
        <v>1039</v>
      </c>
      <c r="B50" t="s">
        <v>64</v>
      </c>
      <c r="C50" t="s">
        <v>24</v>
      </c>
      <c r="D50" t="s">
        <v>19</v>
      </c>
      <c r="E50">
        <v>16</v>
      </c>
      <c r="F50">
        <v>50</v>
      </c>
      <c r="G50" s="5">
        <v>45347</v>
      </c>
      <c r="H50">
        <f>E50*F50</f>
        <v>800</v>
      </c>
    </row>
    <row r="51" spans="1:8" x14ac:dyDescent="0.3">
      <c r="A51">
        <v>1034</v>
      </c>
      <c r="B51" t="s">
        <v>59</v>
      </c>
      <c r="C51" t="s">
        <v>21</v>
      </c>
      <c r="D51" t="s">
        <v>19</v>
      </c>
      <c r="E51">
        <v>17</v>
      </c>
      <c r="F51">
        <v>50</v>
      </c>
      <c r="G51" s="5">
        <v>45340</v>
      </c>
      <c r="H51">
        <f>E51*F51</f>
        <v>850</v>
      </c>
    </row>
    <row r="52" spans="1:8" x14ac:dyDescent="0.3">
      <c r="A52" t="s">
        <v>76</v>
      </c>
      <c r="B52">
        <f>COUNTA(B2:B51)</f>
        <v>50</v>
      </c>
      <c r="E52">
        <f>SUM(E2:E51)</f>
        <v>1003</v>
      </c>
      <c r="F52">
        <f>SUM(F2:F51)</f>
        <v>1092</v>
      </c>
    </row>
  </sheetData>
  <sortState ref="A2:H52">
    <sortCondition ref="H2"/>
  </sortState>
  <conditionalFormatting sqref="H2:H5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{B16B3F84-F85B-4212-B3B9-FD4030B0DA44}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6B3F84-F85B-4212-B3B9-FD4030B0D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answer1</vt:lpstr>
      <vt:lpstr>answer3</vt:lpstr>
      <vt:lpstr>answer7</vt:lpstr>
      <vt:lpstr>answer 8</vt:lpstr>
      <vt:lpstr>answer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2026-03-24T08:00:59Z</dcterms:created>
  <dcterms:modified xsi:type="dcterms:W3CDTF">2026-03-24T09:36:21Z</dcterms:modified>
</cp:coreProperties>
</file>